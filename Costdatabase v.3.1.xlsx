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eneral" sheetId="1" state="visible" r:id="rId3"/>
    <sheet name="Cost" sheetId="2" state="visible" r:id="rId4"/>
  </sheets>
  <externalReferences>
    <externalReference r:id="rId5"/>
  </externalReferences>
  <definedNames>
    <definedName function="false" hidden="true" localSheetId="1" name="_xlnm._FilterDatabase" vbProcedure="false">Cost!$A$1:$P$166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<sst xmlns="http://schemas.openxmlformats.org/spreadsheetml/2006/main" count="2674" uniqueCount="651">
  <si>
    <t xml:space="preserve">Project ID</t>
  </si>
  <si>
    <t xml:space="preserve">Project Name</t>
  </si>
  <si>
    <t xml:space="preserve">Country</t>
  </si>
  <si>
    <t xml:space="preserve">Region</t>
  </si>
  <si>
    <t xml:space="preserve">Project Type</t>
  </si>
  <si>
    <t xml:space="preserve">Contract Type</t>
  </si>
  <si>
    <t xml:space="preserve">Developer / Client</t>
  </si>
  <si>
    <t xml:space="preserve">Counterparty / EPC</t>
  </si>
  <si>
    <t xml:space="preserve">Source Type</t>
  </si>
  <si>
    <t xml:space="preserve">Native Currency</t>
  </si>
  <si>
    <t xml:space="preserve">CAPEX</t>
  </si>
  <si>
    <t xml:space="preserve">OPEX</t>
  </si>
  <si>
    <t xml:space="preserve">EPC Start Year</t>
  </si>
  <si>
    <t xml:space="preserve">COD Year</t>
  </si>
  <si>
    <t xml:space="preserve">DC Capacity MWp</t>
  </si>
  <si>
    <t xml:space="preserve">AC Capacity MW</t>
  </si>
  <si>
    <t xml:space="preserve">Technology</t>
  </si>
  <si>
    <t xml:space="preserve">P50 Yield kWh/kWp</t>
  </si>
  <si>
    <t xml:space="preserve">LCOE ($ct/kWh)</t>
  </si>
  <si>
    <t xml:space="preserve">Status</t>
  </si>
  <si>
    <t xml:space="preserve">Completeness %</t>
  </si>
  <si>
    <t xml:space="preserve">Notes</t>
  </si>
  <si>
    <t xml:space="preserve">EX001</t>
  </si>
  <si>
    <t xml:space="preserve">France Group 2022</t>
  </si>
  <si>
    <t xml:space="preserve">France</t>
  </si>
  <si>
    <t xml:space="preserve">Westren Europe</t>
  </si>
  <si>
    <t xml:space="preserve">Portfolio Group</t>
  </si>
  <si>
    <t xml:space="preserve">Assumptions</t>
  </si>
  <si>
    <t xml:space="preserve">Confidential Client #1</t>
  </si>
  <si>
    <t xml:space="preserve">Multiple</t>
  </si>
  <si>
    <t xml:space="preserve">Contract</t>
  </si>
  <si>
    <t xml:space="preserve">USD</t>
  </si>
  <si>
    <t xml:space="preserve">Undefined</t>
  </si>
  <si>
    <t xml:space="preserve">Commissioning</t>
  </si>
  <si>
    <t xml:space="preserve">94%</t>
  </si>
  <si>
    <t xml:space="preserve">Completeness percentage for the project core data only </t>
  </si>
  <si>
    <t xml:space="preserve">EX002</t>
  </si>
  <si>
    <t xml:space="preserve">France Group 2023</t>
  </si>
  <si>
    <t xml:space="preserve">PV + BESS</t>
  </si>
  <si>
    <t xml:space="preserve">Contractor Y</t>
  </si>
  <si>
    <t xml:space="preserve">SAR</t>
  </si>
  <si>
    <t xml:space="preserve">2023+</t>
  </si>
  <si>
    <t xml:space="preserve">Bid</t>
  </si>
  <si>
    <t xml:space="preserve">100%</t>
  </si>
  <si>
    <t xml:space="preserve">Demonstrates hybrid handled via extra cost lines</t>
  </si>
  <si>
    <t xml:space="preserve">EX003</t>
  </si>
  <si>
    <t xml:space="preserve">France Group 2024</t>
  </si>
  <si>
    <t xml:space="preserve">PV+Wind</t>
  </si>
  <si>
    <t xml:space="preserve">Contractor Y01</t>
  </si>
  <si>
    <t xml:space="preserve">TDD</t>
  </si>
  <si>
    <t xml:space="preserve">EUR</t>
  </si>
  <si>
    <t xml:space="preserve">2024+</t>
  </si>
  <si>
    <t xml:space="preserve">Development</t>
  </si>
  <si>
    <t xml:space="preserve">EX004</t>
  </si>
  <si>
    <t xml:space="preserve">Germany Group 2022</t>
  </si>
  <si>
    <t xml:space="preserve">Germany</t>
  </si>
  <si>
    <t xml:space="preserve">Central Europe</t>
  </si>
  <si>
    <t xml:space="preserve">PV</t>
  </si>
  <si>
    <t xml:space="preserve">EX005</t>
  </si>
  <si>
    <t xml:space="preserve">Germany Group 2023</t>
  </si>
  <si>
    <t xml:space="preserve">Contractor Y02</t>
  </si>
  <si>
    <t xml:space="preserve">EX006</t>
  </si>
  <si>
    <t xml:space="preserve">Germany Group 2024</t>
  </si>
  <si>
    <t xml:space="preserve">EX007</t>
  </si>
  <si>
    <t xml:space="preserve">Greece Group 2022</t>
  </si>
  <si>
    <t xml:space="preserve">Greece</t>
  </si>
  <si>
    <t xml:space="preserve">Southeastren Europe</t>
  </si>
  <si>
    <t xml:space="preserve">Contractor Y03</t>
  </si>
  <si>
    <t xml:space="preserve">EX008</t>
  </si>
  <si>
    <t xml:space="preserve">Greece Group 2023</t>
  </si>
  <si>
    <t xml:space="preserve">EX009</t>
  </si>
  <si>
    <t xml:space="preserve">Greece Group 2024</t>
  </si>
  <si>
    <t xml:space="preserve">Contractor Y04</t>
  </si>
  <si>
    <t xml:space="preserve">EX010</t>
  </si>
  <si>
    <t xml:space="preserve">Ireland Group 2022</t>
  </si>
  <si>
    <t xml:space="preserve">Ireland</t>
  </si>
  <si>
    <t xml:space="preserve">Northwestern Europe</t>
  </si>
  <si>
    <t xml:space="preserve">EX011</t>
  </si>
  <si>
    <t xml:space="preserve">Ireland Group 2023</t>
  </si>
  <si>
    <t xml:space="preserve">Contractor Y05</t>
  </si>
  <si>
    <t xml:space="preserve">EX012</t>
  </si>
  <si>
    <t xml:space="preserve">Ireland Group 2024</t>
  </si>
  <si>
    <t xml:space="preserve">EX013</t>
  </si>
  <si>
    <t xml:space="preserve">Italy Group 2022</t>
  </si>
  <si>
    <t xml:space="preserve">Italy</t>
  </si>
  <si>
    <t xml:space="preserve">Southern Europe</t>
  </si>
  <si>
    <t xml:space="preserve">EX014</t>
  </si>
  <si>
    <t xml:space="preserve">Italy Group 2023</t>
  </si>
  <si>
    <t xml:space="preserve">EX015</t>
  </si>
  <si>
    <t xml:space="preserve">Italy Group 2024</t>
  </si>
  <si>
    <t xml:space="preserve">EX016</t>
  </si>
  <si>
    <t xml:space="preserve">Netherlands Group 2022</t>
  </si>
  <si>
    <t xml:space="preserve">Netherlands</t>
  </si>
  <si>
    <t xml:space="preserve">North Europe</t>
  </si>
  <si>
    <t xml:space="preserve">EX017</t>
  </si>
  <si>
    <t xml:space="preserve">Netherlands Group 2023</t>
  </si>
  <si>
    <t xml:space="preserve">EX018</t>
  </si>
  <si>
    <t xml:space="preserve">Netherlands Group 2024</t>
  </si>
  <si>
    <t xml:space="preserve">EX019</t>
  </si>
  <si>
    <t xml:space="preserve">Poland Group 2022</t>
  </si>
  <si>
    <t xml:space="preserve">Poland</t>
  </si>
  <si>
    <t xml:space="preserve">EX020</t>
  </si>
  <si>
    <t xml:space="preserve">Poland Group 2023</t>
  </si>
  <si>
    <t xml:space="preserve">EX021</t>
  </si>
  <si>
    <t xml:space="preserve">Poland Group 2024</t>
  </si>
  <si>
    <t xml:space="preserve">EX022</t>
  </si>
  <si>
    <t xml:space="preserve">Spain Group 2022</t>
  </si>
  <si>
    <t xml:space="preserve">Spain</t>
  </si>
  <si>
    <t xml:space="preserve">Western Europe</t>
  </si>
  <si>
    <t xml:space="preserve">EX023</t>
  </si>
  <si>
    <t xml:space="preserve">Spain Group 2023</t>
  </si>
  <si>
    <t xml:space="preserve">EX024</t>
  </si>
  <si>
    <t xml:space="preserve">Spain Group 2024</t>
  </si>
  <si>
    <t xml:space="preserve">EX025</t>
  </si>
  <si>
    <t xml:space="preserve">UK Group 2022</t>
  </si>
  <si>
    <t xml:space="preserve">UK</t>
  </si>
  <si>
    <t xml:space="preserve">EX026</t>
  </si>
  <si>
    <t xml:space="preserve">UK Group 2023</t>
  </si>
  <si>
    <t xml:space="preserve">EX027</t>
  </si>
  <si>
    <t xml:space="preserve">UK Group 2024</t>
  </si>
  <si>
    <t xml:space="preserve">EX028</t>
  </si>
  <si>
    <t xml:space="preserve">US Group 2022</t>
  </si>
  <si>
    <t xml:space="preserve">USA</t>
  </si>
  <si>
    <t xml:space="preserve">North America</t>
  </si>
  <si>
    <t xml:space="preserve">EX029</t>
  </si>
  <si>
    <t xml:space="preserve">US Group 2023</t>
  </si>
  <si>
    <t xml:space="preserve">EX030</t>
  </si>
  <si>
    <t xml:space="preserve">US Group 2024</t>
  </si>
  <si>
    <t xml:space="preserve">EX031</t>
  </si>
  <si>
    <t xml:space="preserve">Sakaka</t>
  </si>
  <si>
    <t xml:space="preserve">KSA</t>
  </si>
  <si>
    <t xml:space="preserve">Middle East</t>
  </si>
  <si>
    <t xml:space="preserve">Bid </t>
  </si>
  <si>
    <t xml:space="preserve">Masdar</t>
  </si>
  <si>
    <t xml:space="preserve">tracking bf</t>
  </si>
  <si>
    <t xml:space="preserve">EX032</t>
  </si>
  <si>
    <t xml:space="preserve">Maxsolar</t>
  </si>
  <si>
    <t xml:space="preserve">Unknown</t>
  </si>
  <si>
    <t xml:space="preserve">Engie</t>
  </si>
  <si>
    <t xml:space="preserve">EX033</t>
  </si>
  <si>
    <t xml:space="preserve">Sunrock Möckmühl</t>
  </si>
  <si>
    <t xml:space="preserve">TDD/ EPC Contract</t>
  </si>
  <si>
    <t xml:space="preserve">Sunrock Solarproject 1 GmbH</t>
  </si>
  <si>
    <t xml:space="preserve">EX034</t>
  </si>
  <si>
    <t xml:space="preserve">Sunrock Dorsten</t>
  </si>
  <si>
    <t xml:space="preserve">fix-tilt</t>
  </si>
  <si>
    <t xml:space="preserve">EX035</t>
  </si>
  <si>
    <t xml:space="preserve">Sunrock Polch</t>
  </si>
  <si>
    <t xml:space="preserve">Half Cell Monofacial </t>
  </si>
  <si>
    <t xml:space="preserve">EX036</t>
  </si>
  <si>
    <t xml:space="preserve">Sunrock Unna </t>
  </si>
  <si>
    <t xml:space="preserve">fixed tilt (N/S) split array (monocrystalline)</t>
  </si>
  <si>
    <t xml:space="preserve">EX037</t>
  </si>
  <si>
    <t xml:space="preserve">DEWA ETA V</t>
  </si>
  <si>
    <t xml:space="preserve">UAE</t>
  </si>
  <si>
    <t xml:space="preserve">Monthly Report ETA/ Website of DEWA</t>
  </si>
  <si>
    <t xml:space="preserve">ACWA Power (Shuaa Energy 3) </t>
  </si>
  <si>
    <t xml:space="preserve">EX038</t>
  </si>
  <si>
    <t xml:space="preserve">Dekemhare 30 MW Solar PV Project</t>
  </si>
  <si>
    <t xml:space="preserve">Eritrea</t>
  </si>
  <si>
    <t xml:space="preserve">East Africa</t>
  </si>
  <si>
    <t xml:space="preserve">Ministry of Energy and Mines - Bidder 1 (RIC SUN INVESTMENTS SL) </t>
  </si>
  <si>
    <t xml:space="preserve">TBC</t>
  </si>
  <si>
    <t xml:space="preserve">EX039</t>
  </si>
  <si>
    <t xml:space="preserve">Ministry of Energy and Mines - Bidder 2 (Nanjing Daji Steel Tower Manufacturing Co., Ltd and Guodian Nanjing Automation Co., Ltd) </t>
  </si>
  <si>
    <t xml:space="preserve">EX040</t>
  </si>
  <si>
    <t xml:space="preserve">Ministry of Energy and Mines - Bidder 3 (TBEA Intl Eng - TBEA Sunoasis JV) </t>
  </si>
  <si>
    <t xml:space="preserve">Monofacial </t>
  </si>
  <si>
    <t xml:space="preserve">EX041</t>
  </si>
  <si>
    <t xml:space="preserve">Ministry of Energy and Mines - Bidder 4 (Dongfang Electric International Corporation) </t>
  </si>
  <si>
    <t xml:space="preserve">bf tracking (monocrystalline) - P type </t>
  </si>
  <si>
    <t xml:space="preserve">EX042</t>
  </si>
  <si>
    <t xml:space="preserve">Ministry of Energy and Mines - Bidder 5 (AEE Power EPC, SAU) </t>
  </si>
  <si>
    <t xml:space="preserve">EX043</t>
  </si>
  <si>
    <t xml:space="preserve">Ministry of Energy and Mines - Bidder 6 (JV POWERCHINA HEEC - POWERCHINA JEPCC) </t>
  </si>
  <si>
    <t xml:space="preserve">bf tracking (moncrystalline), Half cell (Bifacial) </t>
  </si>
  <si>
    <t xml:space="preserve">EX044</t>
  </si>
  <si>
    <t xml:space="preserve">Al Kharsaa</t>
  </si>
  <si>
    <t xml:space="preserve">Qatar</t>
  </si>
  <si>
    <t xml:space="preserve">TotalEnergies and Marubeni (40%), Siraj</t>
  </si>
  <si>
    <t xml:space="preserve">EX045</t>
  </si>
  <si>
    <t xml:space="preserve">EX046</t>
  </si>
  <si>
    <t xml:space="preserve">Dtek Pokrovskaya</t>
  </si>
  <si>
    <t xml:space="preserve">Ukraine</t>
  </si>
  <si>
    <t xml:space="preserve">East Europe</t>
  </si>
  <si>
    <t xml:space="preserve">EX047</t>
  </si>
  <si>
    <t xml:space="preserve">Dtek Pokrovskaya </t>
  </si>
  <si>
    <t xml:space="preserve">EX048</t>
  </si>
  <si>
    <t xml:space="preserve">Ellomay</t>
  </si>
  <si>
    <t xml:space="preserve">Israel</t>
  </si>
  <si>
    <t xml:space="preserve">GranSolar</t>
  </si>
  <si>
    <t xml:space="preserve">EX049</t>
  </si>
  <si>
    <t xml:space="preserve">Metka</t>
  </si>
  <si>
    <t xml:space="preserve">EX050</t>
  </si>
  <si>
    <t xml:space="preserve">Solarpark</t>
  </si>
  <si>
    <t xml:space="preserve">EX051</t>
  </si>
  <si>
    <t xml:space="preserve">Talasol</t>
  </si>
  <si>
    <t xml:space="preserve">South Europe</t>
  </si>
  <si>
    <t xml:space="preserve">tracking mf</t>
  </si>
  <si>
    <t xml:space="preserve">EX052</t>
  </si>
  <si>
    <t xml:space="preserve">BayWa r.e.-Fern</t>
  </si>
  <si>
    <t xml:space="preserve">BayWa r.e.</t>
  </si>
  <si>
    <t xml:space="preserve">EX053</t>
  </si>
  <si>
    <t xml:space="preserve">BSEP</t>
  </si>
  <si>
    <t xml:space="preserve">Egypt</t>
  </si>
  <si>
    <t xml:space="preserve">North Africa</t>
  </si>
  <si>
    <t xml:space="preserve">IB Vogt</t>
  </si>
  <si>
    <t xml:space="preserve">EX054</t>
  </si>
  <si>
    <t xml:space="preserve">BayWa r.e.-Isohara</t>
  </si>
  <si>
    <t xml:space="preserve">Japan</t>
  </si>
  <si>
    <t xml:space="preserve">East Asia</t>
  </si>
  <si>
    <t xml:space="preserve">EX055</t>
  </si>
  <si>
    <t xml:space="preserve">Ibri</t>
  </si>
  <si>
    <t xml:space="preserve">Oman</t>
  </si>
  <si>
    <t xml:space="preserve">ACWA</t>
  </si>
  <si>
    <t xml:space="preserve">EX056</t>
  </si>
  <si>
    <t xml:space="preserve">-</t>
  </si>
  <si>
    <t xml:space="preserve">EX057</t>
  </si>
  <si>
    <t xml:space="preserve">south mf</t>
  </si>
  <si>
    <t xml:space="preserve">EX058</t>
  </si>
  <si>
    <t xml:space="preserve">Nadec</t>
  </si>
  <si>
    <t xml:space="preserve">EX059</t>
  </si>
  <si>
    <t xml:space="preserve">RE Gebeng</t>
  </si>
  <si>
    <t xml:space="preserve">Malaysia</t>
  </si>
  <si>
    <t xml:space="preserve">South East Asia </t>
  </si>
  <si>
    <t xml:space="preserve">Re Gebeng</t>
  </si>
  <si>
    <t xml:space="preserve">e/w mf</t>
  </si>
  <si>
    <t xml:space="preserve">EX060</t>
  </si>
  <si>
    <t xml:space="preserve">De Kie</t>
  </si>
  <si>
    <t xml:space="preserve">EX061</t>
  </si>
  <si>
    <t xml:space="preserve">Geldermalsen</t>
  </si>
  <si>
    <t xml:space="preserve">EX062</t>
  </si>
  <si>
    <t xml:space="preserve">BayWa r.e.-Karadoc</t>
  </si>
  <si>
    <t xml:space="preserve">Australia</t>
  </si>
  <si>
    <t xml:space="preserve">Oceania </t>
  </si>
  <si>
    <t xml:space="preserve">EX063</t>
  </si>
  <si>
    <t xml:space="preserve">Infinity 50</t>
  </si>
  <si>
    <t xml:space="preserve">EX064</t>
  </si>
  <si>
    <t xml:space="preserve">Barth III</t>
  </si>
  <si>
    <t xml:space="preserve">SPM Solarpark Möhlau GmbH &amp; Co. KG</t>
  </si>
  <si>
    <t xml:space="preserve">EX065</t>
  </si>
  <si>
    <t xml:space="preserve">Bargoed</t>
  </si>
  <si>
    <t xml:space="preserve">EX066</t>
  </si>
  <si>
    <t xml:space="preserve">Sweihan</t>
  </si>
  <si>
    <t xml:space="preserve">Marubeni</t>
  </si>
  <si>
    <t xml:space="preserve">EX067</t>
  </si>
  <si>
    <t xml:space="preserve">EX068</t>
  </si>
  <si>
    <t xml:space="preserve">JGC</t>
  </si>
  <si>
    <t xml:space="preserve">EX069</t>
  </si>
  <si>
    <t xml:space="preserve">Tenaga</t>
  </si>
  <si>
    <t xml:space="preserve">EX070</t>
  </si>
  <si>
    <t xml:space="preserve">RWE</t>
  </si>
  <si>
    <t xml:space="preserve">EX071</t>
  </si>
  <si>
    <t xml:space="preserve">Kepco</t>
  </si>
  <si>
    <t xml:space="preserve">EX072</t>
  </si>
  <si>
    <t xml:space="preserve">Ring O Bells</t>
  </si>
  <si>
    <t xml:space="preserve">EX073</t>
  </si>
  <si>
    <t xml:space="preserve">DEWA Round 3</t>
  </si>
  <si>
    <t xml:space="preserve">EX074</t>
  </si>
  <si>
    <t xml:space="preserve">EDF</t>
  </si>
  <si>
    <t xml:space="preserve">EX075</t>
  </si>
  <si>
    <t xml:space="preserve">EX076</t>
  </si>
  <si>
    <t xml:space="preserve">EX077</t>
  </si>
  <si>
    <t xml:space="preserve">Jinko</t>
  </si>
  <si>
    <t xml:space="preserve">EX078</t>
  </si>
  <si>
    <t xml:space="preserve">EX079</t>
  </si>
  <si>
    <t xml:space="preserve">EX080</t>
  </si>
  <si>
    <t xml:space="preserve">EX081</t>
  </si>
  <si>
    <t xml:space="preserve">EX082</t>
  </si>
  <si>
    <t xml:space="preserve">EX083</t>
  </si>
  <si>
    <t xml:space="preserve">EX084</t>
  </si>
  <si>
    <t xml:space="preserve">EX085</t>
  </si>
  <si>
    <t xml:space="preserve">EX086</t>
  </si>
  <si>
    <t xml:space="preserve">EX087</t>
  </si>
  <si>
    <t xml:space="preserve">EX088</t>
  </si>
  <si>
    <t xml:space="preserve">Oving</t>
  </si>
  <si>
    <t xml:space="preserve">EX089</t>
  </si>
  <si>
    <t xml:space="preserve">Lee Farm</t>
  </si>
  <si>
    <t xml:space="preserve">EX090</t>
  </si>
  <si>
    <t xml:space="preserve">Ebbsfleet</t>
  </si>
  <si>
    <t xml:space="preserve">EX091</t>
  </si>
  <si>
    <t xml:space="preserve">TDD/ Contract</t>
  </si>
  <si>
    <t xml:space="preserve">EX092</t>
  </si>
  <si>
    <t xml:space="preserve">EX093</t>
  </si>
  <si>
    <t xml:space="preserve">TDD/ Financial Model</t>
  </si>
  <si>
    <t xml:space="preserve">EX094</t>
  </si>
  <si>
    <t xml:space="preserve">EX095</t>
  </si>
  <si>
    <t xml:space="preserve">Mitsui</t>
  </si>
  <si>
    <t xml:space="preserve">EX096</t>
  </si>
  <si>
    <t xml:space="preserve">Total</t>
  </si>
  <si>
    <t xml:space="preserve">EX097</t>
  </si>
  <si>
    <t xml:space="preserve">Cobra</t>
  </si>
  <si>
    <t xml:space="preserve">EX098</t>
  </si>
  <si>
    <t xml:space="preserve">PV 2</t>
  </si>
  <si>
    <t xml:space="preserve">EDF/Jinko</t>
  </si>
  <si>
    <t xml:space="preserve">E/W tracking bf</t>
  </si>
  <si>
    <t xml:space="preserve">EX099</t>
  </si>
  <si>
    <t xml:space="preserve">80% tracking bf, 20% tracking mf</t>
  </si>
  <si>
    <t xml:space="preserve">EX100</t>
  </si>
  <si>
    <t xml:space="preserve">EX101</t>
  </si>
  <si>
    <t xml:space="preserve">Shortlisting report</t>
  </si>
  <si>
    <t xml:space="preserve">EX102</t>
  </si>
  <si>
    <t xml:space="preserve">Softbank</t>
  </si>
  <si>
    <t xml:space="preserve">EX103</t>
  </si>
  <si>
    <t xml:space="preserve">BayWa r.e.- Parque Solar La Paloma</t>
  </si>
  <si>
    <t xml:space="preserve">Mexico</t>
  </si>
  <si>
    <t xml:space="preserve">BayWa r.e. and Next Energy</t>
  </si>
  <si>
    <t xml:space="preserve">EX104</t>
  </si>
  <si>
    <t xml:space="preserve">BayWa r.e.- Exloo</t>
  </si>
  <si>
    <t xml:space="preserve">EX105</t>
  </si>
  <si>
    <t xml:space="preserve">BayWa r.e.-Amance</t>
  </si>
  <si>
    <t xml:space="preserve">EPC Price Breakdown File</t>
  </si>
  <si>
    <t xml:space="preserve">EX106</t>
  </si>
  <si>
    <t xml:space="preserve">BayWa r.e.-Almodovar</t>
  </si>
  <si>
    <t xml:space="preserve">Southwestern Europe</t>
  </si>
  <si>
    <t xml:space="preserve">mix: fix-tilt and tracking</t>
  </si>
  <si>
    <t xml:space="preserve">EX107</t>
  </si>
  <si>
    <t xml:space="preserve">Bomhofsplas</t>
  </si>
  <si>
    <t xml:space="preserve">EX108</t>
  </si>
  <si>
    <t xml:space="preserve">REPDO- AFA</t>
  </si>
  <si>
    <t xml:space="preserve">Saudi Arabia</t>
  </si>
  <si>
    <t xml:space="preserve">single-axis tracked</t>
  </si>
  <si>
    <t xml:space="preserve">EX109</t>
  </si>
  <si>
    <t xml:space="preserve">REPDO - JED</t>
  </si>
  <si>
    <t xml:space="preserve">EX110</t>
  </si>
  <si>
    <t xml:space="preserve">REPDO- RAB</t>
  </si>
  <si>
    <t xml:space="preserve">2017 Auction </t>
  </si>
  <si>
    <t xml:space="preserve">EX111</t>
  </si>
  <si>
    <t xml:space="preserve">REPDO - QUR</t>
  </si>
  <si>
    <t xml:space="preserve">EX112</t>
  </si>
  <si>
    <t xml:space="preserve">Kalmyk SPP No 1</t>
  </si>
  <si>
    <t xml:space="preserve">Russia</t>
  </si>
  <si>
    <t xml:space="preserve">FiT</t>
  </si>
  <si>
    <t xml:space="preserve">INGKA Group</t>
  </si>
  <si>
    <t xml:space="preserve">EX113</t>
  </si>
  <si>
    <t xml:space="preserve">Sigma Dragon</t>
  </si>
  <si>
    <t xml:space="preserve">EX114</t>
  </si>
  <si>
    <t xml:space="preserve">Samara SPP LCC</t>
  </si>
  <si>
    <t xml:space="preserve">Merchant/PPA</t>
  </si>
  <si>
    <t xml:space="preserve">EX115</t>
  </si>
  <si>
    <t xml:space="preserve">Almansol</t>
  </si>
  <si>
    <t xml:space="preserve">SPV 3</t>
  </si>
  <si>
    <t xml:space="preserve">EX116</t>
  </si>
  <si>
    <t xml:space="preserve">Tabernas</t>
  </si>
  <si>
    <t xml:space="preserve">SPV 1</t>
  </si>
  <si>
    <t xml:space="preserve">EX117</t>
  </si>
  <si>
    <t xml:space="preserve">GT Genera</t>
  </si>
  <si>
    <t xml:space="preserve">GT genera, Mistral fotovoltaica, Persp. Radiantes</t>
  </si>
  <si>
    <t xml:space="preserve">EX118</t>
  </si>
  <si>
    <t xml:space="preserve">Anteo Solar</t>
  </si>
  <si>
    <t xml:space="preserve">EX119</t>
  </si>
  <si>
    <t xml:space="preserve">Cádiz</t>
  </si>
  <si>
    <t xml:space="preserve">Alya Solar, Alamak Solar</t>
  </si>
  <si>
    <t xml:space="preserve">EX120</t>
  </si>
  <si>
    <t xml:space="preserve">Badajoz I</t>
  </si>
  <si>
    <t xml:space="preserve">Lobelia Solar</t>
  </si>
  <si>
    <t xml:space="preserve">EX121</t>
  </si>
  <si>
    <t xml:space="preserve">Badaoz II</t>
  </si>
  <si>
    <t xml:space="preserve">Espuela Solar</t>
  </si>
  <si>
    <t xml:space="preserve">EX122</t>
  </si>
  <si>
    <t xml:space="preserve">Murcia</t>
  </si>
  <si>
    <t xml:space="preserve">Grupotec SPV 9</t>
  </si>
  <si>
    <t xml:space="preserve">EX123</t>
  </si>
  <si>
    <t xml:space="preserve">Alicante</t>
  </si>
  <si>
    <t xml:space="preserve">Grupotec SPV 4,  Grupotec SPV 20, IDE Planta 4</t>
  </si>
  <si>
    <t xml:space="preserve">EX124</t>
  </si>
  <si>
    <t xml:space="preserve">Almería II</t>
  </si>
  <si>
    <t xml:space="preserve">Muscari Solar</t>
  </si>
  <si>
    <t xml:space="preserve">EX125</t>
  </si>
  <si>
    <t xml:space="preserve">Almería I</t>
  </si>
  <si>
    <t xml:space="preserve">Grupotec SPV 16, Grupotec SPV 17, IDE Planta 3</t>
  </si>
  <si>
    <t xml:space="preserve">EX126</t>
  </si>
  <si>
    <t xml:space="preserve">Jaén</t>
  </si>
  <si>
    <t xml:space="preserve">Solar AF 2018</t>
  </si>
  <si>
    <t xml:space="preserve">EX127</t>
  </si>
  <si>
    <t xml:space="preserve">Málaga</t>
  </si>
  <si>
    <t xml:space="preserve">Celeno Solar, Deneb Solar</t>
  </si>
  <si>
    <t xml:space="preserve">EX128</t>
  </si>
  <si>
    <t xml:space="preserve">Guadalajara</t>
  </si>
  <si>
    <t xml:space="preserve">Bessel Solar</t>
  </si>
  <si>
    <t xml:space="preserve">EX129</t>
  </si>
  <si>
    <t xml:space="preserve">Palencia</t>
  </si>
  <si>
    <t xml:space="preserve">Grupotec SPV 19</t>
  </si>
  <si>
    <t xml:space="preserve">EX130</t>
  </si>
  <si>
    <t xml:space="preserve">Benejama</t>
  </si>
  <si>
    <t xml:space="preserve">Destream 2017, Eleanor Investment</t>
  </si>
  <si>
    <t xml:space="preserve">EX131</t>
  </si>
  <si>
    <t xml:space="preserve">Sax</t>
  </si>
  <si>
    <t xml:space="preserve">Argos Desarrollo</t>
  </si>
  <si>
    <t xml:space="preserve">EX132</t>
  </si>
  <si>
    <t xml:space="preserve">Torremendo</t>
  </si>
  <si>
    <t xml:space="preserve">Bibey Desarrollo, Itel Investment</t>
  </si>
  <si>
    <t xml:space="preserve">EX133</t>
  </si>
  <si>
    <t xml:space="preserve">Novelda</t>
  </si>
  <si>
    <t xml:space="preserve">EX134</t>
  </si>
  <si>
    <t xml:space="preserve">Aparecida</t>
  </si>
  <si>
    <t xml:space="preserve">Ateles Invest, Gorilla Invest</t>
  </si>
  <si>
    <t xml:space="preserve">EX135</t>
  </si>
  <si>
    <t xml:space="preserve">Solarpack Suria Sungai Petani (3SP) Power Plant</t>
  </si>
  <si>
    <t xml:space="preserve">Asia</t>
  </si>
  <si>
    <t xml:space="preserve">EX136</t>
  </si>
  <si>
    <t xml:space="preserve">Meridiam</t>
  </si>
  <si>
    <t xml:space="preserve">Äthiopien</t>
  </si>
  <si>
    <t xml:space="preserve">Northern Africa</t>
  </si>
  <si>
    <t xml:space="preserve">fixed</t>
  </si>
  <si>
    <t xml:space="preserve">EX137</t>
  </si>
  <si>
    <t xml:space="preserve">tracker</t>
  </si>
  <si>
    <t xml:space="preserve">EX138</t>
  </si>
  <si>
    <t xml:space="preserve">REPDO Sakaka</t>
  </si>
  <si>
    <t xml:space="preserve">ACWA / Al Gihaz</t>
  </si>
  <si>
    <t xml:space="preserve">EX139</t>
  </si>
  <si>
    <t xml:space="preserve">REPDO Jeddah</t>
  </si>
  <si>
    <t xml:space="preserve">- Abu Dhabi Future Energy Company PJSC – MASDAR
- EDF Renouvelables S.A.
- Nesma Holding Company Limited</t>
  </si>
  <si>
    <t xml:space="preserve">EX140</t>
  </si>
  <si>
    <t xml:space="preserve">REPDO Rabigh</t>
  </si>
  <si>
    <t xml:space="preserve">Marubeni Corporation
- Al Jomaih Energy and Water Company Ltd</t>
  </si>
  <si>
    <t xml:space="preserve">EX141</t>
  </si>
  <si>
    <t xml:space="preserve">INTEC B3</t>
  </si>
  <si>
    <t xml:space="preserve">EX142</t>
  </si>
  <si>
    <t xml:space="preserve">Maxsolar B6</t>
  </si>
  <si>
    <t xml:space="preserve">Engie </t>
  </si>
  <si>
    <t xml:space="preserve">EX143</t>
  </si>
  <si>
    <t xml:space="preserve">Maxsolar BE</t>
  </si>
  <si>
    <t xml:space="preserve">EX144</t>
  </si>
  <si>
    <t xml:space="preserve">Maxsolar C1</t>
  </si>
  <si>
    <t xml:space="preserve">EX145</t>
  </si>
  <si>
    <t xml:space="preserve">Maxsolar C2</t>
  </si>
  <si>
    <t xml:space="preserve">EX146</t>
  </si>
  <si>
    <t xml:space="preserve">Maxsolar M</t>
  </si>
  <si>
    <t xml:space="preserve">EX147</t>
  </si>
  <si>
    <t xml:space="preserve">Equans BE</t>
  </si>
  <si>
    <t xml:space="preserve">EX148</t>
  </si>
  <si>
    <t xml:space="preserve">Equans B3</t>
  </si>
  <si>
    <t xml:space="preserve">EX149</t>
  </si>
  <si>
    <t xml:space="preserve">HEC Solar B3</t>
  </si>
  <si>
    <t xml:space="preserve">EX150</t>
  </si>
  <si>
    <t xml:space="preserve">HEC Solar B6</t>
  </si>
  <si>
    <t xml:space="preserve">EX151</t>
  </si>
  <si>
    <t xml:space="preserve">Solarpro B3</t>
  </si>
  <si>
    <t xml:space="preserve">EX152</t>
  </si>
  <si>
    <t xml:space="preserve">Solarpro B6</t>
  </si>
  <si>
    <t xml:space="preserve">EX153</t>
  </si>
  <si>
    <t xml:space="preserve">Solarpro BE</t>
  </si>
  <si>
    <t xml:space="preserve">EX154</t>
  </si>
  <si>
    <t xml:space="preserve">Iqony Solar B3</t>
  </si>
  <si>
    <t xml:space="preserve">EX155</t>
  </si>
  <si>
    <t xml:space="preserve">Greencells BE</t>
  </si>
  <si>
    <t xml:space="preserve">EX156</t>
  </si>
  <si>
    <t xml:space="preserve">Greencells B6</t>
  </si>
  <si>
    <t xml:space="preserve">EX157</t>
  </si>
  <si>
    <t xml:space="preserve">Greencells C1</t>
  </si>
  <si>
    <t xml:space="preserve">EX158</t>
  </si>
  <si>
    <t xml:space="preserve">Greencells M</t>
  </si>
  <si>
    <t xml:space="preserve">EX159</t>
  </si>
  <si>
    <t xml:space="preserve">Schoenergie B3</t>
  </si>
  <si>
    <t xml:space="preserve">EX160</t>
  </si>
  <si>
    <t xml:space="preserve">Schoenergie B6</t>
  </si>
  <si>
    <t xml:space="preserve">EX161</t>
  </si>
  <si>
    <t xml:space="preserve">Schoenergie BE</t>
  </si>
  <si>
    <t xml:space="preserve">EX162</t>
  </si>
  <si>
    <t xml:space="preserve">Schoenergie M</t>
  </si>
  <si>
    <t xml:space="preserve">EX163</t>
  </si>
  <si>
    <t xml:space="preserve">Schoenergie C1</t>
  </si>
  <si>
    <t xml:space="preserve">EX164</t>
  </si>
  <si>
    <t xml:space="preserve">Schoenergie C2</t>
  </si>
  <si>
    <t xml:space="preserve">EX165</t>
  </si>
  <si>
    <t xml:space="preserve">BElectric B3</t>
  </si>
  <si>
    <t xml:space="preserve">EX166</t>
  </si>
  <si>
    <t xml:space="preserve">BElectric BE</t>
  </si>
  <si>
    <t xml:space="preserve">EX167</t>
  </si>
  <si>
    <t xml:space="preserve">BElectric C2</t>
  </si>
  <si>
    <t xml:space="preserve">EX168</t>
  </si>
  <si>
    <t xml:space="preserve">BElectric C1</t>
  </si>
  <si>
    <t xml:space="preserve">EX169</t>
  </si>
  <si>
    <t xml:space="preserve">BElectric M</t>
  </si>
  <si>
    <t xml:space="preserve">Cost Phase</t>
  </si>
  <si>
    <t xml:space="preserve">Cost Group</t>
  </si>
  <si>
    <t xml:space="preserve">Component</t>
  </si>
  <si>
    <t xml:space="preserve">Native Value</t>
  </si>
  <si>
    <t xml:space="preserve">Currency</t>
  </si>
  <si>
    <t xml:space="preserve">FX to USD</t>
  </si>
  <si>
    <t xml:space="preserve">USD Value</t>
  </si>
  <si>
    <t xml:space="preserve">Unit Basis</t>
  </si>
  <si>
    <t xml:space="preserve">Project DC MWp</t>
  </si>
  <si>
    <t xml:space="preserve">Project AC MW</t>
  </si>
  <si>
    <t xml:space="preserve">Normalized USD/MWp</t>
  </si>
  <si>
    <t xml:space="preserve">Source</t>
  </si>
  <si>
    <t xml:space="preserve">Confidence</t>
  </si>
  <si>
    <t xml:space="preserve">Comments</t>
  </si>
  <si>
    <t xml:space="preserve">Include?</t>
  </si>
  <si>
    <t xml:space="preserve">Module cost </t>
  </si>
  <si>
    <t xml:space="preserve">Module  </t>
  </si>
  <si>
    <t xml:space="preserve">273.42</t>
  </si>
  <si>
    <t xml:space="preserve">m$</t>
  </si>
  <si>
    <t xml:space="preserve">Medium</t>
  </si>
  <si>
    <t xml:space="preserve">Example line only</t>
  </si>
  <si>
    <t xml:space="preserve">Y</t>
  </si>
  <si>
    <t xml:space="preserve">246.15</t>
  </si>
  <si>
    <t xml:space="preserve">258.33</t>
  </si>
  <si>
    <t xml:space="preserve">230.06</t>
  </si>
  <si>
    <t xml:space="preserve">Annual total, different unit basis differ per contract not one unified used.</t>
  </si>
  <si>
    <t xml:space="preserve">258.35</t>
  </si>
  <si>
    <t xml:space="preserve">High</t>
  </si>
  <si>
    <t xml:space="preserve">Per kWp input example</t>
  </si>
  <si>
    <t xml:space="preserve">230.07</t>
  </si>
  <si>
    <t xml:space="preserve">Extra row instead of extra columns</t>
  </si>
  <si>
    <t xml:space="preserve">5830.00 USD/MWp/yr × 36.0 MWp</t>
  </si>
  <si>
    <t xml:space="preserve">5830.00 USD/MWp/yr × 123.0 MWp</t>
  </si>
  <si>
    <t xml:space="preserve">5830.00 USD/MWp/yr × 150.0 MWp</t>
  </si>
  <si>
    <t xml:space="preserve">5830.00 USD/MWp/yr × 34.5 MWp</t>
  </si>
  <si>
    <t xml:space="preserve">5830.00 USD/MWp/yr × 87.9 MWp</t>
  </si>
  <si>
    <t xml:space="preserve">283.36</t>
  </si>
  <si>
    <t xml:space="preserve">5830.00 USD/MWp/yr × 22.0 MWp</t>
  </si>
  <si>
    <t xml:space="preserve">252.34</t>
  </si>
  <si>
    <t xml:space="preserve">5830.00 USD/MWp/yr × 51.0 MWp</t>
  </si>
  <si>
    <t xml:space="preserve">263.04</t>
  </si>
  <si>
    <t xml:space="preserve">234.24</t>
  </si>
  <si>
    <t xml:space="preserve">370.59</t>
  </si>
  <si>
    <t xml:space="preserve">Mounting System cost </t>
  </si>
  <si>
    <t xml:space="preserve">Mounting System  </t>
  </si>
  <si>
    <t xml:space="preserve">216</t>
  </si>
  <si>
    <t xml:space="preserve">35.93</t>
  </si>
  <si>
    <t xml:space="preserve">Inverter cost </t>
  </si>
  <si>
    <t xml:space="preserve">Inverter  </t>
  </si>
  <si>
    <t xml:space="preserve">5.17</t>
  </si>
  <si>
    <t xml:space="preserve">14.11</t>
  </si>
  <si>
    <t xml:space="preserve">0.84</t>
  </si>
  <si>
    <t xml:space="preserve">0.59</t>
  </si>
  <si>
    <t xml:space="preserve">0.15</t>
  </si>
  <si>
    <t xml:space="preserve">1.11</t>
  </si>
  <si>
    <t xml:space="preserve">0.61</t>
  </si>
  <si>
    <t xml:space="preserve">0.47</t>
  </si>
  <si>
    <t xml:space="preserve">1.61</t>
  </si>
  <si>
    <t xml:space="preserve">0.7</t>
  </si>
  <si>
    <t xml:space="preserve">0.78</t>
  </si>
  <si>
    <t xml:space="preserve">0.6</t>
  </si>
  <si>
    <t xml:space="preserve">0.14</t>
  </si>
  <si>
    <t xml:space="preserve">0.18</t>
  </si>
  <si>
    <t xml:space="preserve">Grid Connection Cost </t>
  </si>
  <si>
    <t xml:space="preserve">Grid Connection  </t>
  </si>
  <si>
    <t xml:space="preserve">0.08</t>
  </si>
  <si>
    <t xml:space="preserve">Installation cost </t>
  </si>
  <si>
    <t xml:space="preserve">Installation  </t>
  </si>
  <si>
    <t xml:space="preserve">10.76</t>
  </si>
  <si>
    <t xml:space="preserve">0.11</t>
  </si>
  <si>
    <t xml:space="preserve">5.12</t>
  </si>
  <si>
    <t xml:space="preserve">0.1</t>
  </si>
  <si>
    <t xml:space="preserve">114.01</t>
  </si>
  <si>
    <t xml:space="preserve">1.01</t>
  </si>
  <si>
    <t xml:space="preserve">16.8</t>
  </si>
  <si>
    <t xml:space="preserve">0.13</t>
  </si>
  <si>
    <t xml:space="preserve">5.9</t>
  </si>
  <si>
    <t xml:space="preserve">1.06</t>
  </si>
  <si>
    <t xml:space="preserve">36.61</t>
  </si>
  <si>
    <t xml:space="preserve">0.25</t>
  </si>
  <si>
    <t xml:space="preserve">0.06</t>
  </si>
  <si>
    <t xml:space="preserve">0.03</t>
  </si>
  <si>
    <t xml:space="preserve">0.24</t>
  </si>
  <si>
    <t xml:space="preserve">85.89</t>
  </si>
  <si>
    <t xml:space="preserve">11.56</t>
  </si>
  <si>
    <t xml:space="preserve">33.39</t>
  </si>
  <si>
    <t xml:space="preserve">21.72</t>
  </si>
  <si>
    <t xml:space="preserve">14.06</t>
  </si>
  <si>
    <t xml:space="preserve">52.8</t>
  </si>
  <si>
    <t xml:space="preserve">6.94</t>
  </si>
  <si>
    <t xml:space="preserve">9.44</t>
  </si>
  <si>
    <t xml:space="preserve">1.84</t>
  </si>
  <si>
    <t xml:space="preserve">3.82</t>
  </si>
  <si>
    <t xml:space="preserve">8.95</t>
  </si>
  <si>
    <t xml:space="preserve">2.09</t>
  </si>
  <si>
    <t xml:space="preserve">0.95</t>
  </si>
  <si>
    <t xml:space="preserve">0.85</t>
  </si>
  <si>
    <t xml:space="preserve">3.29</t>
  </si>
  <si>
    <t xml:space="preserve">254.85</t>
  </si>
  <si>
    <t xml:space="preserve">302.66</t>
  </si>
  <si>
    <t xml:space="preserve">273.64</t>
  </si>
  <si>
    <t xml:space="preserve">286.46</t>
  </si>
  <si>
    <t xml:space="preserve">277.47</t>
  </si>
  <si>
    <t xml:space="preserve">270.26</t>
  </si>
  <si>
    <t xml:space="preserve">0.93</t>
  </si>
  <si>
    <t xml:space="preserve">1.5</t>
  </si>
  <si>
    <t xml:space="preserve">3.86</t>
  </si>
  <si>
    <t xml:space="preserve">16.09</t>
  </si>
  <si>
    <t xml:space="preserve">4.29</t>
  </si>
  <si>
    <t xml:space="preserve">0.62</t>
  </si>
  <si>
    <t xml:space="preserve">1.73</t>
  </si>
  <si>
    <t xml:space="preserve">9.01</t>
  </si>
  <si>
    <t xml:space="preserve">1.3</t>
  </si>
  <si>
    <t xml:space="preserve">10.2</t>
  </si>
  <si>
    <t xml:space="preserve">1.48</t>
  </si>
  <si>
    <t xml:space="preserve">4.21</t>
  </si>
  <si>
    <t xml:space="preserve">18.43</t>
  </si>
  <si>
    <t xml:space="preserve">2.65</t>
  </si>
  <si>
    <t xml:space="preserve">7.36</t>
  </si>
  <si>
    <t xml:space="preserve">8.57</t>
  </si>
  <si>
    <t xml:space="preserve">1.23</t>
  </si>
  <si>
    <t xml:space="preserve">3.61</t>
  </si>
  <si>
    <t xml:space="preserve">9.57</t>
  </si>
  <si>
    <t xml:space="preserve">2.74</t>
  </si>
  <si>
    <t xml:space="preserve">38.71</t>
  </si>
  <si>
    <t xml:space="preserve">12.04</t>
  </si>
  <si>
    <t xml:space="preserve">13.35</t>
  </si>
  <si>
    <t xml:space="preserve">3.43</t>
  </si>
  <si>
    <t xml:space="preserve">13.3</t>
  </si>
  <si>
    <t xml:space="preserve">0.48</t>
  </si>
  <si>
    <t xml:space="preserve">1.54</t>
  </si>
  <si>
    <t xml:space="preserve">4.38</t>
  </si>
  <si>
    <t xml:space="preserve">15.07</t>
  </si>
  <si>
    <t xml:space="preserve">1.7</t>
  </si>
  <si>
    <t xml:space="preserve">1.12</t>
  </si>
  <si>
    <t xml:space="preserve">3.87</t>
  </si>
  <si>
    <t xml:space="preserve">3.95</t>
  </si>
  <si>
    <t xml:space="preserve">15.53</t>
  </si>
  <si>
    <t xml:space="preserve">0.94</t>
  </si>
  <si>
    <t xml:space="preserve">3.33</t>
  </si>
  <si>
    <t xml:space="preserve">0.36</t>
  </si>
  <si>
    <t xml:space="preserve">1.44</t>
  </si>
  <si>
    <t xml:space="preserve">1.16</t>
  </si>
  <si>
    <t xml:space="preserve">4.13</t>
  </si>
  <si>
    <t xml:space="preserve">3.03</t>
  </si>
  <si>
    <t xml:space="preserve">40.02</t>
  </si>
  <si>
    <t xml:space="preserve">4.31</t>
  </si>
  <si>
    <t xml:space="preserve">18.88</t>
  </si>
  <si>
    <t xml:space="preserve">5.38</t>
  </si>
  <si>
    <t xml:space="preserve">2.54</t>
  </si>
  <si>
    <t xml:space="preserve">11.38</t>
  </si>
  <si>
    <t xml:space="preserve">1.24</t>
  </si>
  <si>
    <t xml:space="preserve">5.37</t>
  </si>
  <si>
    <t xml:space="preserve">10.56</t>
  </si>
  <si>
    <t xml:space="preserve">1.14</t>
  </si>
  <si>
    <t xml:space="preserve">5.41</t>
  </si>
  <si>
    <t xml:space="preserve">12.8</t>
  </si>
  <si>
    <t xml:space="preserve">1.38</t>
  </si>
  <si>
    <t xml:space="preserve">6.04</t>
  </si>
  <si>
    <t xml:space="preserve">22.51</t>
  </si>
  <si>
    <t xml:space="preserve">2.42</t>
  </si>
  <si>
    <t xml:space="preserve">10.62</t>
  </si>
  <si>
    <t xml:space="preserve">27.62</t>
  </si>
  <si>
    <t xml:space="preserve">2.77</t>
  </si>
  <si>
    <t xml:space="preserve">9.06</t>
  </si>
  <si>
    <t xml:space="preserve">8.97</t>
  </si>
  <si>
    <t xml:space="preserve">0.89</t>
  </si>
  <si>
    <t xml:space="preserve">2.94</t>
  </si>
  <si>
    <t xml:space="preserve">18.83</t>
  </si>
  <si>
    <t xml:space="preserve">1.87</t>
  </si>
  <si>
    <t xml:space="preserve">6.18</t>
  </si>
  <si>
    <t xml:space="preserve">1.19</t>
  </si>
  <si>
    <t xml:space="preserve">8.99</t>
  </si>
  <si>
    <t xml:space="preserve">2.95</t>
  </si>
  <si>
    <t xml:space="preserve">annual maintenance</t>
  </si>
  <si>
    <t xml:space="preserve">m$/year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</si>
</sst>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F172A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BEAF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E2E2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C:/Users/AlhosaniS/Desktop/Cost%20-%20Database_Redesign%20Logic%20V.3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rends"/>
      <sheetName val="Database"/>
      <sheetName val="Input Workfile"/>
      <sheetName val="dd"/>
      <sheetName val="Manual"/>
      <sheetName val="Redesign_Overview"/>
      <sheetName val="Redesign_Core"/>
      <sheetName val="Redesign_Cost_Lines"/>
      <sheetName val="Redesign_FX_Units"/>
      <sheetName val="Redesign_Field_Map"/>
      <sheetName val="Redesign_Dashboard"/>
      <sheetName val="Redesign_Lists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A4" t="str">
            <v>EX-001</v>
          </cell>
          <cell r="B4" t="str">
            <v>Example PV portfolio</v>
          </cell>
          <cell r="C4" t="str">
            <v>UAE</v>
          </cell>
          <cell r="D4" t="str">
            <v>Middle East</v>
          </cell>
          <cell r="E4" t="str">
            <v>Portfolio Group</v>
          </cell>
          <cell r="F4" t="str">
            <v>Benchmark</v>
          </cell>
          <cell r="G4" t="str">
            <v>Internal / mixed</v>
          </cell>
          <cell r="H4" t="str">
            <v>Multiple</v>
          </cell>
          <cell r="I4" t="str">
            <v>Assumption</v>
          </cell>
          <cell r="J4" t="str">
            <v>Grouped historical reference</v>
          </cell>
          <cell r="K4" t="str">
            <v>USD</v>
          </cell>
          <cell r="L4">
            <v>1</v>
          </cell>
          <cell r="M4">
            <v>2024</v>
          </cell>
          <cell r="N4">
            <v>2026</v>
          </cell>
          <cell r="O4">
            <v>500</v>
          </cell>
          <cell r="P4">
            <v>400</v>
          </cell>
        </row>
        <row r="5">
          <cell r="A5" t="str">
            <v>EX-002</v>
          </cell>
          <cell r="B5" t="str">
            <v>Example PV + BESS</v>
          </cell>
          <cell r="C5" t="str">
            <v>Saudi Arabia</v>
          </cell>
          <cell r="D5" t="str">
            <v>Middle East</v>
          </cell>
          <cell r="E5" t="str">
            <v>PV + BESS</v>
          </cell>
          <cell r="F5" t="str">
            <v>EPC</v>
          </cell>
          <cell r="G5" t="str">
            <v>Client X</v>
          </cell>
          <cell r="H5" t="str">
            <v>Contractor Y</v>
          </cell>
          <cell r="I5" t="str">
            <v>Contract</v>
          </cell>
          <cell r="J5" t="str">
            <v>Cost package rev A</v>
          </cell>
          <cell r="K5" t="str">
            <v>SAR</v>
          </cell>
          <cell r="L5">
            <v>0.27</v>
          </cell>
          <cell r="M5">
            <v>2025</v>
          </cell>
          <cell r="N5">
            <v>2027</v>
          </cell>
          <cell r="O5">
            <v>120</v>
          </cell>
          <cell r="P5">
            <v>100</v>
          </cell>
        </row>
      </sheetData>
      <sheetData sheetId="7"/>
      <sheetData sheetId="8">
        <row r="4">
          <cell r="A4" t="str">
            <v>USD</v>
          </cell>
          <cell r="B4">
            <v>1</v>
          </cell>
        </row>
        <row r="5">
          <cell r="A5" t="str">
            <v>EUR</v>
          </cell>
          <cell r="B5">
            <v>1.09</v>
          </cell>
        </row>
        <row r="6">
          <cell r="A6" t="str">
            <v>GBP</v>
          </cell>
          <cell r="B6">
            <v>1.29</v>
          </cell>
        </row>
        <row r="7">
          <cell r="A7" t="str">
            <v>SAR</v>
          </cell>
          <cell r="B7">
            <v>0.27</v>
          </cell>
        </row>
        <row r="8">
          <cell r="A8" t="str">
            <v>AUD</v>
          </cell>
          <cell r="B8">
            <v>0.7</v>
          </cell>
        </row>
        <row r="9">
          <cell r="A9" t="str">
            <v>JPY</v>
          </cell>
          <cell r="B9">
            <v>0.0093</v>
          </cell>
        </row>
        <row r="12">
          <cell r="A12" t="str">
            <v>Design principle</v>
          </cell>
        </row>
        <row r="13">
          <cell r="A13" t="str">
            <v>1) Keep only editable reference rates here.</v>
          </cell>
        </row>
        <row r="14">
          <cell r="A14" t="str">
            <v>2) Put one cost component per row in the cost-line sheet.</v>
          </cell>
        </row>
        <row r="15">
          <cell r="A15" t="str">
            <v>3) Normalize later by formula instead of storing many duplicate 'Spec.' columns.</v>
          </cell>
        </row>
        <row r="16">
          <cell r="A16" t="str">
            <v>4) Hybrid projects should use extra cost lines, not extra fixed columns.</v>
          </cell>
        </row>
      </sheetData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id="1" name="RedesignCoreTable" displayName="RedesignCoreTable" ref="A1:U61" headerRowCount="1" totalsRowCount="0" totalsRowShown="0">
  <tableColumns count="21">
    <tableColumn id="1" name="Project ID"/>
    <tableColumn id="2" name="Project Name"/>
    <tableColumn id="3" name="Country"/>
    <tableColumn id="4" name="Region"/>
    <tableColumn id="5" name="Project Type"/>
    <tableColumn id="6" name="Contract Type"/>
    <tableColumn id="7" name="Developer / Client"/>
    <tableColumn id="8" name="Counterparty / EPC"/>
    <tableColumn id="9" name="Source Type"/>
    <tableColumn id="10" name="Native Currency"/>
    <tableColumn id="11" name="CAPEX"/>
    <tableColumn id="12" name="OPEX"/>
    <tableColumn id="13" name="EPC Start Year"/>
    <tableColumn id="14" name="COD Year"/>
    <tableColumn id="15" name="DC Capacity MWp"/>
    <tableColumn id="16" name="AC Capacity MW"/>
    <tableColumn id="17" name="Technology"/>
    <tableColumn id="18" name="P50 Yield kWh/kWp"/>
    <tableColumn id="19" name="LCOE ($ct/kWh)"/>
    <tableColumn id="20" name="Status"/>
    <tableColumn id="21" name="Completeness %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70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L18" activeCellId="0" sqref="L18"/>
    </sheetView>
  </sheetViews>
  <sheetFormatPr defaultColWidth="10.16015625" defaultRowHeight="14.25" customHeight="false" zeroHeight="false" outlineLevelRow="0" outlineLevelCol="0"/>
  <cols>
    <col collapsed="false" customWidth="true" hidden="false" outlineLevel="0" max="1" min="1" style="0" width="8.49"/>
    <col collapsed="false" customWidth="true" hidden="false" outlineLevel="0" max="2" min="2" style="0" width="36.68"/>
    <col collapsed="false" customWidth="true" hidden="false" outlineLevel="0" max="3" min="3" style="0" width="10.45"/>
    <col collapsed="false" customWidth="true" hidden="false" outlineLevel="0" max="4" min="4" style="0" width="16.33"/>
    <col collapsed="false" customWidth="true" hidden="false" outlineLevel="0" max="5" min="5" style="0" width="12.05"/>
    <col collapsed="false" customWidth="true" hidden="false" outlineLevel="0" max="6" min="6" style="0" width="29.7"/>
    <col collapsed="false" customWidth="true" hidden="false" outlineLevel="0" max="7" min="7" style="0" width="95.51"/>
    <col collapsed="false" customWidth="true" hidden="false" outlineLevel="0" max="8" min="8" style="0" width="15.23"/>
    <col collapsed="false" customWidth="true" hidden="false" outlineLevel="0" max="9" min="9" style="0" width="10.45"/>
    <col collapsed="false" customWidth="true" hidden="false" outlineLevel="0" max="10" min="10" style="0" width="12.78"/>
    <col collapsed="false" customWidth="true" hidden="false" outlineLevel="0" max="11" min="11" style="0" width="6.9"/>
    <col collapsed="false" customWidth="true" hidden="false" outlineLevel="0" max="12" min="12" style="0" width="5.92"/>
    <col collapsed="false" customWidth="true" hidden="false" outlineLevel="0" max="13" min="13" style="0" width="12.41"/>
    <col collapsed="false" customWidth="true" hidden="false" outlineLevel="0" max="14" min="14" style="0" width="8.61"/>
    <col collapsed="false" customWidth="true" hidden="false" outlineLevel="0" max="15" min="15" style="0" width="14.5"/>
    <col collapsed="false" customWidth="true" hidden="false" outlineLevel="0" max="16" min="16" style="0" width="13.64"/>
    <col collapsed="false" customWidth="true" hidden="false" outlineLevel="0" max="17" min="17" style="0" width="34.6"/>
    <col collapsed="false" customWidth="true" hidden="false" outlineLevel="0" max="18" min="18" style="0" width="15.6"/>
    <col collapsed="false" customWidth="true" hidden="false" outlineLevel="0" max="19" min="19" style="0" width="13.03"/>
    <col collapsed="false" customWidth="true" hidden="false" outlineLevel="0" max="20" min="20" style="0" width="12.29"/>
    <col collapsed="false" customWidth="true" hidden="false" outlineLevel="0" max="21" min="21" style="0" width="13.52"/>
    <col collapsed="false" customWidth="true" hidden="false" outlineLevel="0" max="22" min="22" style="0" width="41.21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 customFormat="false" ht="14.25" hidden="false" customHeight="false" outlineLevel="0" collapsed="false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0" t="s">
        <v>27</v>
      </c>
      <c r="G2" s="0" t="s">
        <v>28</v>
      </c>
      <c r="H2" s="0" t="s">
        <v>29</v>
      </c>
      <c r="I2" s="0" t="s">
        <v>30</v>
      </c>
      <c r="J2" s="0" t="s">
        <v>31</v>
      </c>
      <c r="K2" s="0" t="n">
        <v>12</v>
      </c>
      <c r="L2" s="0" t="n">
        <v>0.5</v>
      </c>
      <c r="M2" s="0" t="n">
        <v>2022</v>
      </c>
      <c r="N2" s="0" t="n">
        <v>2026</v>
      </c>
      <c r="O2" s="0" t="n">
        <v>1087</v>
      </c>
      <c r="Q2" s="0" t="s">
        <v>32</v>
      </c>
      <c r="T2" s="0" t="s">
        <v>33</v>
      </c>
      <c r="U2" s="1" t="s">
        <v>34</v>
      </c>
      <c r="V2" s="0" t="s">
        <v>35</v>
      </c>
    </row>
    <row r="3" customFormat="false" ht="14.25" hidden="false" customHeight="false" outlineLevel="0" collapsed="false">
      <c r="A3" s="0" t="s">
        <v>36</v>
      </c>
      <c r="B3" s="0" t="s">
        <v>37</v>
      </c>
      <c r="C3" s="0" t="s">
        <v>24</v>
      </c>
      <c r="D3" s="0" t="s">
        <v>25</v>
      </c>
      <c r="E3" s="0" t="s">
        <v>38</v>
      </c>
      <c r="F3" s="0" t="s">
        <v>27</v>
      </c>
      <c r="G3" s="0" t="s">
        <v>28</v>
      </c>
      <c r="H3" s="0" t="s">
        <v>39</v>
      </c>
      <c r="I3" s="0" t="s">
        <v>30</v>
      </c>
      <c r="J3" s="0" t="s">
        <v>40</v>
      </c>
      <c r="K3" s="0" t="n">
        <v>2</v>
      </c>
      <c r="L3" s="0" t="n">
        <v>1.5</v>
      </c>
      <c r="M3" s="1" t="s">
        <v>41</v>
      </c>
      <c r="N3" s="0" t="n">
        <v>2027</v>
      </c>
      <c r="Q3" s="0" t="s">
        <v>32</v>
      </c>
      <c r="R3" s="0" t="n">
        <v>1900</v>
      </c>
      <c r="T3" s="0" t="s">
        <v>42</v>
      </c>
      <c r="U3" s="1" t="s">
        <v>43</v>
      </c>
      <c r="V3" s="0" t="s">
        <v>44</v>
      </c>
    </row>
    <row r="4" customFormat="false" ht="14.25" hidden="false" customHeight="false" outlineLevel="0" collapsed="false">
      <c r="A4" s="0" t="s">
        <v>45</v>
      </c>
      <c r="B4" s="0" t="s">
        <v>46</v>
      </c>
      <c r="C4" s="0" t="s">
        <v>24</v>
      </c>
      <c r="D4" s="0" t="s">
        <v>25</v>
      </c>
      <c r="E4" s="0" t="s">
        <v>47</v>
      </c>
      <c r="F4" s="0" t="s">
        <v>27</v>
      </c>
      <c r="G4" s="0" t="s">
        <v>28</v>
      </c>
      <c r="H4" s="0" t="s">
        <v>48</v>
      </c>
      <c r="I4" s="0" t="s">
        <v>49</v>
      </c>
      <c r="J4" s="0" t="s">
        <v>50</v>
      </c>
      <c r="K4" s="0" t="n">
        <v>1.09</v>
      </c>
      <c r="L4" s="0" t="n">
        <v>2.5</v>
      </c>
      <c r="M4" s="1" t="s">
        <v>51</v>
      </c>
      <c r="N4" s="0" t="n">
        <v>2030</v>
      </c>
      <c r="Q4" s="0" t="s">
        <v>32</v>
      </c>
      <c r="T4" s="0" t="s">
        <v>52</v>
      </c>
      <c r="U4" s="1" t="s">
        <v>34</v>
      </c>
    </row>
    <row r="5" customFormat="false" ht="14.25" hidden="false" customHeight="false" outlineLevel="0" collapsed="false">
      <c r="A5" s="0" t="s">
        <v>53</v>
      </c>
      <c r="B5" s="0" t="s">
        <v>54</v>
      </c>
      <c r="C5" s="0" t="s">
        <v>55</v>
      </c>
      <c r="D5" s="0" t="s">
        <v>56</v>
      </c>
      <c r="E5" s="0" t="s">
        <v>57</v>
      </c>
      <c r="F5" s="0" t="s">
        <v>27</v>
      </c>
      <c r="G5" s="0" t="s">
        <v>28</v>
      </c>
      <c r="H5" s="0" t="s">
        <v>39</v>
      </c>
      <c r="I5" s="0" t="s">
        <v>30</v>
      </c>
      <c r="J5" s="0" t="s">
        <v>31</v>
      </c>
      <c r="K5" s="0" t="n">
        <v>13</v>
      </c>
      <c r="L5" s="0" t="n">
        <v>3.5</v>
      </c>
      <c r="M5" s="0" t="n">
        <v>2022</v>
      </c>
      <c r="N5" s="0" t="n">
        <v>2026</v>
      </c>
      <c r="O5" s="0" t="n">
        <v>944</v>
      </c>
      <c r="Q5" s="0" t="s">
        <v>32</v>
      </c>
      <c r="R5" s="0" t="n">
        <v>2096</v>
      </c>
      <c r="T5" s="0" t="s">
        <v>33</v>
      </c>
      <c r="U5" s="1" t="s">
        <v>43</v>
      </c>
      <c r="V5" s="0" t="s">
        <v>35</v>
      </c>
    </row>
    <row r="6" customFormat="false" ht="14.25" hidden="false" customHeight="false" outlineLevel="0" collapsed="false">
      <c r="A6" s="0" t="s">
        <v>58</v>
      </c>
      <c r="B6" s="0" t="s">
        <v>59</v>
      </c>
      <c r="C6" s="0" t="s">
        <v>55</v>
      </c>
      <c r="D6" s="0" t="s">
        <v>56</v>
      </c>
      <c r="E6" s="0" t="s">
        <v>57</v>
      </c>
      <c r="F6" s="0" t="s">
        <v>27</v>
      </c>
      <c r="G6" s="0" t="s">
        <v>28</v>
      </c>
      <c r="H6" s="0" t="s">
        <v>60</v>
      </c>
      <c r="I6" s="0" t="s">
        <v>49</v>
      </c>
      <c r="J6" s="0" t="s">
        <v>31</v>
      </c>
      <c r="K6" s="0" t="n">
        <v>3</v>
      </c>
      <c r="L6" s="0" t="n">
        <v>4.5</v>
      </c>
      <c r="M6" s="1" t="s">
        <v>41</v>
      </c>
      <c r="N6" s="0" t="n">
        <v>2027</v>
      </c>
      <c r="Q6" s="0" t="s">
        <v>32</v>
      </c>
      <c r="R6" s="0" t="n">
        <v>2012</v>
      </c>
      <c r="T6" s="0" t="s">
        <v>42</v>
      </c>
      <c r="U6" s="1" t="s">
        <v>43</v>
      </c>
      <c r="V6" s="0" t="s">
        <v>44</v>
      </c>
    </row>
    <row r="7" customFormat="false" ht="14.25" hidden="false" customHeight="false" outlineLevel="0" collapsed="false">
      <c r="A7" s="0" t="s">
        <v>61</v>
      </c>
      <c r="B7" s="0" t="s">
        <v>62</v>
      </c>
      <c r="C7" s="0" t="s">
        <v>55</v>
      </c>
      <c r="D7" s="0" t="s">
        <v>56</v>
      </c>
      <c r="E7" s="0" t="s">
        <v>57</v>
      </c>
      <c r="F7" s="0" t="s">
        <v>27</v>
      </c>
      <c r="G7" s="0" t="s">
        <v>28</v>
      </c>
      <c r="H7" s="0" t="s">
        <v>39</v>
      </c>
      <c r="I7" s="0" t="s">
        <v>30</v>
      </c>
      <c r="J7" s="0" t="s">
        <v>31</v>
      </c>
      <c r="K7" s="0" t="n">
        <v>2.09</v>
      </c>
      <c r="L7" s="0" t="n">
        <v>5.5</v>
      </c>
      <c r="M7" s="1" t="s">
        <v>51</v>
      </c>
      <c r="N7" s="0" t="n">
        <v>2026</v>
      </c>
      <c r="Q7" s="0" t="s">
        <v>32</v>
      </c>
      <c r="R7" s="0" t="n">
        <v>2086</v>
      </c>
      <c r="T7" s="0" t="s">
        <v>52</v>
      </c>
      <c r="U7" s="1" t="s">
        <v>43</v>
      </c>
    </row>
    <row r="8" customFormat="false" ht="14.25" hidden="false" customHeight="false" outlineLevel="0" collapsed="false">
      <c r="A8" s="0" t="s">
        <v>63</v>
      </c>
      <c r="B8" s="0" t="s">
        <v>64</v>
      </c>
      <c r="C8" s="0" t="s">
        <v>65</v>
      </c>
      <c r="D8" s="0" t="s">
        <v>66</v>
      </c>
      <c r="E8" s="0" t="s">
        <v>57</v>
      </c>
      <c r="F8" s="0" t="s">
        <v>27</v>
      </c>
      <c r="G8" s="0" t="s">
        <v>28</v>
      </c>
      <c r="H8" s="0" t="s">
        <v>67</v>
      </c>
      <c r="I8" s="0" t="s">
        <v>49</v>
      </c>
      <c r="J8" s="0" t="s">
        <v>31</v>
      </c>
      <c r="K8" s="0" t="n">
        <v>14</v>
      </c>
      <c r="L8" s="0" t="n">
        <v>6.5</v>
      </c>
      <c r="M8" s="0" t="n">
        <v>2022</v>
      </c>
      <c r="N8" s="0" t="n">
        <v>2027</v>
      </c>
      <c r="O8" s="0" t="n">
        <v>946</v>
      </c>
      <c r="Q8" s="0" t="s">
        <v>32</v>
      </c>
      <c r="R8" s="0" t="n">
        <v>2086</v>
      </c>
      <c r="T8" s="0" t="s">
        <v>33</v>
      </c>
      <c r="U8" s="1" t="s">
        <v>43</v>
      </c>
      <c r="V8" s="0" t="s">
        <v>35</v>
      </c>
    </row>
    <row r="9" customFormat="false" ht="14.25" hidden="false" customHeight="false" outlineLevel="0" collapsed="false">
      <c r="A9" s="0" t="s">
        <v>68</v>
      </c>
      <c r="B9" s="0" t="s">
        <v>69</v>
      </c>
      <c r="C9" s="0" t="s">
        <v>65</v>
      </c>
      <c r="D9" s="0" t="s">
        <v>66</v>
      </c>
      <c r="E9" s="0" t="s">
        <v>57</v>
      </c>
      <c r="F9" s="0" t="s">
        <v>27</v>
      </c>
      <c r="G9" s="0" t="s">
        <v>28</v>
      </c>
      <c r="H9" s="0" t="s">
        <v>39</v>
      </c>
      <c r="I9" s="0" t="s">
        <v>30</v>
      </c>
      <c r="J9" s="0" t="s">
        <v>31</v>
      </c>
      <c r="K9" s="0" t="n">
        <v>4</v>
      </c>
      <c r="L9" s="0" t="n">
        <v>7.5</v>
      </c>
      <c r="M9" s="1" t="s">
        <v>41</v>
      </c>
      <c r="N9" s="0" t="n">
        <v>2026</v>
      </c>
      <c r="Q9" s="0" t="s">
        <v>32</v>
      </c>
      <c r="R9" s="0" t="n">
        <v>2115</v>
      </c>
      <c r="T9" s="0" t="s">
        <v>42</v>
      </c>
      <c r="U9" s="1" t="s">
        <v>43</v>
      </c>
      <c r="V9" s="0" t="s">
        <v>44</v>
      </c>
    </row>
    <row r="10" customFormat="false" ht="14.25" hidden="false" customHeight="false" outlineLevel="0" collapsed="false">
      <c r="A10" s="0" t="s">
        <v>70</v>
      </c>
      <c r="B10" s="0" t="s">
        <v>71</v>
      </c>
      <c r="C10" s="0" t="s">
        <v>65</v>
      </c>
      <c r="D10" s="0" t="s">
        <v>66</v>
      </c>
      <c r="E10" s="0" t="s">
        <v>57</v>
      </c>
      <c r="F10" s="0" t="s">
        <v>27</v>
      </c>
      <c r="G10" s="0" t="s">
        <v>28</v>
      </c>
      <c r="H10" s="0" t="s">
        <v>72</v>
      </c>
      <c r="I10" s="0" t="s">
        <v>49</v>
      </c>
      <c r="J10" s="0" t="s">
        <v>31</v>
      </c>
      <c r="K10" s="0" t="n">
        <v>3.09</v>
      </c>
      <c r="L10" s="0" t="n">
        <v>8.5</v>
      </c>
      <c r="M10" s="1" t="s">
        <v>51</v>
      </c>
      <c r="N10" s="0" t="n">
        <v>2027</v>
      </c>
      <c r="Q10" s="0" t="s">
        <v>32</v>
      </c>
      <c r="R10" s="0" t="n">
        <v>2084</v>
      </c>
      <c r="T10" s="0" t="s">
        <v>52</v>
      </c>
      <c r="U10" s="1" t="s">
        <v>43</v>
      </c>
    </row>
    <row r="11" customFormat="false" ht="14.25" hidden="false" customHeight="false" outlineLevel="0" collapsed="false">
      <c r="A11" s="0" t="s">
        <v>73</v>
      </c>
      <c r="B11" s="0" t="s">
        <v>74</v>
      </c>
      <c r="C11" s="0" t="s">
        <v>75</v>
      </c>
      <c r="D11" s="0" t="s">
        <v>76</v>
      </c>
      <c r="E11" s="0" t="s">
        <v>57</v>
      </c>
      <c r="F11" s="0" t="s">
        <v>27</v>
      </c>
      <c r="G11" s="0" t="s">
        <v>28</v>
      </c>
      <c r="H11" s="0" t="s">
        <v>39</v>
      </c>
      <c r="I11" s="0" t="s">
        <v>30</v>
      </c>
      <c r="J11" s="0" t="s">
        <v>31</v>
      </c>
      <c r="K11" s="0" t="n">
        <v>15</v>
      </c>
      <c r="L11" s="0" t="n">
        <v>9.5</v>
      </c>
      <c r="M11" s="0" t="n">
        <v>2022</v>
      </c>
      <c r="N11" s="0" t="n">
        <v>2026</v>
      </c>
      <c r="O11" s="0" t="n">
        <v>498</v>
      </c>
      <c r="Q11" s="0" t="s">
        <v>32</v>
      </c>
      <c r="R11" s="0" t="n">
        <v>1984</v>
      </c>
      <c r="T11" s="0" t="s">
        <v>33</v>
      </c>
      <c r="U11" s="1" t="s">
        <v>43</v>
      </c>
      <c r="V11" s="0" t="s">
        <v>35</v>
      </c>
    </row>
    <row r="12" customFormat="false" ht="14.25" hidden="false" customHeight="false" outlineLevel="0" collapsed="false">
      <c r="A12" s="0" t="s">
        <v>77</v>
      </c>
      <c r="B12" s="0" t="s">
        <v>78</v>
      </c>
      <c r="C12" s="0" t="s">
        <v>75</v>
      </c>
      <c r="D12" s="0" t="s">
        <v>76</v>
      </c>
      <c r="E12" s="0" t="s">
        <v>57</v>
      </c>
      <c r="F12" s="0" t="s">
        <v>27</v>
      </c>
      <c r="G12" s="0" t="s">
        <v>28</v>
      </c>
      <c r="H12" s="0" t="s">
        <v>79</v>
      </c>
      <c r="I12" s="0" t="s">
        <v>49</v>
      </c>
      <c r="J12" s="0" t="s">
        <v>31</v>
      </c>
      <c r="K12" s="0" t="n">
        <v>5</v>
      </c>
      <c r="L12" s="0" t="n">
        <v>10.5</v>
      </c>
      <c r="M12" s="1" t="s">
        <v>41</v>
      </c>
      <c r="N12" s="0" t="n">
        <v>2027</v>
      </c>
      <c r="Q12" s="0" t="s">
        <v>32</v>
      </c>
      <c r="R12" s="0" t="n">
        <v>1831</v>
      </c>
      <c r="T12" s="0" t="s">
        <v>42</v>
      </c>
      <c r="U12" s="1" t="s">
        <v>43</v>
      </c>
      <c r="V12" s="0" t="s">
        <v>44</v>
      </c>
    </row>
    <row r="13" customFormat="false" ht="14.25" hidden="false" customHeight="false" outlineLevel="0" collapsed="false">
      <c r="A13" s="0" t="s">
        <v>80</v>
      </c>
      <c r="B13" s="0" t="s">
        <v>81</v>
      </c>
      <c r="C13" s="0" t="s">
        <v>75</v>
      </c>
      <c r="D13" s="0" t="s">
        <v>76</v>
      </c>
      <c r="F13" s="0" t="s">
        <v>27</v>
      </c>
      <c r="G13" s="0" t="s">
        <v>28</v>
      </c>
      <c r="M13" s="1" t="s">
        <v>51</v>
      </c>
      <c r="Q13" s="0" t="s">
        <v>32</v>
      </c>
    </row>
    <row r="14" customFormat="false" ht="14.25" hidden="false" customHeight="false" outlineLevel="0" collapsed="false">
      <c r="A14" s="0" t="s">
        <v>82</v>
      </c>
      <c r="B14" s="0" t="s">
        <v>83</v>
      </c>
      <c r="C14" s="0" t="s">
        <v>84</v>
      </c>
      <c r="D14" s="0" t="s">
        <v>85</v>
      </c>
      <c r="F14" s="0" t="s">
        <v>27</v>
      </c>
      <c r="G14" s="0" t="s">
        <v>28</v>
      </c>
      <c r="M14" s="0" t="n">
        <v>2022</v>
      </c>
      <c r="O14" s="0" t="n">
        <v>3213</v>
      </c>
      <c r="Q14" s="0" t="s">
        <v>32</v>
      </c>
    </row>
    <row r="15" customFormat="false" ht="14.25" hidden="false" customHeight="false" outlineLevel="0" collapsed="false">
      <c r="A15" s="0" t="s">
        <v>86</v>
      </c>
      <c r="B15" s="0" t="s">
        <v>87</v>
      </c>
      <c r="C15" s="0" t="s">
        <v>84</v>
      </c>
      <c r="D15" s="0" t="s">
        <v>85</v>
      </c>
      <c r="F15" s="0" t="s">
        <v>27</v>
      </c>
      <c r="G15" s="0" t="s">
        <v>28</v>
      </c>
      <c r="M15" s="1" t="s">
        <v>41</v>
      </c>
      <c r="Q15" s="0" t="s">
        <v>32</v>
      </c>
    </row>
    <row r="16" customFormat="false" ht="14.25" hidden="false" customHeight="false" outlineLevel="0" collapsed="false">
      <c r="A16" s="0" t="s">
        <v>88</v>
      </c>
      <c r="B16" s="0" t="s">
        <v>89</v>
      </c>
      <c r="C16" s="0" t="s">
        <v>84</v>
      </c>
      <c r="D16" s="0" t="s">
        <v>85</v>
      </c>
      <c r="F16" s="0" t="s">
        <v>27</v>
      </c>
      <c r="G16" s="0" t="s">
        <v>28</v>
      </c>
      <c r="M16" s="1" t="s">
        <v>51</v>
      </c>
      <c r="Q16" s="0" t="s">
        <v>32</v>
      </c>
    </row>
    <row r="17" customFormat="false" ht="14.25" hidden="false" customHeight="false" outlineLevel="0" collapsed="false">
      <c r="A17" s="0" t="s">
        <v>90</v>
      </c>
      <c r="B17" s="0" t="s">
        <v>91</v>
      </c>
      <c r="C17" s="0" t="s">
        <v>92</v>
      </c>
      <c r="D17" s="0" t="s">
        <v>93</v>
      </c>
      <c r="F17" s="0" t="s">
        <v>27</v>
      </c>
      <c r="G17" s="0" t="s">
        <v>28</v>
      </c>
      <c r="M17" s="0" t="n">
        <v>2022</v>
      </c>
      <c r="O17" s="0" t="n">
        <v>7593</v>
      </c>
      <c r="Q17" s="0" t="s">
        <v>32</v>
      </c>
    </row>
    <row r="18" customFormat="false" ht="14.25" hidden="false" customHeight="false" outlineLevel="0" collapsed="false">
      <c r="A18" s="0" t="s">
        <v>94</v>
      </c>
      <c r="B18" s="0" t="s">
        <v>95</v>
      </c>
      <c r="C18" s="0" t="s">
        <v>92</v>
      </c>
      <c r="D18" s="0" t="s">
        <v>93</v>
      </c>
      <c r="F18" s="0" t="s">
        <v>27</v>
      </c>
      <c r="G18" s="0" t="s">
        <v>28</v>
      </c>
      <c r="M18" s="1" t="s">
        <v>41</v>
      </c>
      <c r="Q18" s="0" t="s">
        <v>32</v>
      </c>
    </row>
    <row r="19" customFormat="false" ht="14.25" hidden="false" customHeight="false" outlineLevel="0" collapsed="false">
      <c r="A19" s="0" t="s">
        <v>96</v>
      </c>
      <c r="B19" s="0" t="s">
        <v>97</v>
      </c>
      <c r="C19" s="0" t="s">
        <v>92</v>
      </c>
      <c r="D19" s="0" t="s">
        <v>93</v>
      </c>
      <c r="F19" s="0" t="s">
        <v>27</v>
      </c>
      <c r="G19" s="0" t="s">
        <v>28</v>
      </c>
      <c r="M19" s="1" t="s">
        <v>51</v>
      </c>
      <c r="Q19" s="0" t="s">
        <v>32</v>
      </c>
    </row>
    <row r="20" customFormat="false" ht="14.25" hidden="false" customHeight="false" outlineLevel="0" collapsed="false">
      <c r="A20" s="0" t="s">
        <v>98</v>
      </c>
      <c r="B20" s="0" t="s">
        <v>99</v>
      </c>
      <c r="C20" s="0" t="s">
        <v>100</v>
      </c>
      <c r="D20" s="0" t="s">
        <v>56</v>
      </c>
      <c r="F20" s="0" t="s">
        <v>27</v>
      </c>
      <c r="G20" s="0" t="s">
        <v>28</v>
      </c>
      <c r="M20" s="0" t="n">
        <v>2022</v>
      </c>
      <c r="O20" s="0" t="n">
        <v>710</v>
      </c>
      <c r="Q20" s="0" t="s">
        <v>32</v>
      </c>
    </row>
    <row r="21" customFormat="false" ht="14.25" hidden="false" customHeight="false" outlineLevel="0" collapsed="false">
      <c r="A21" s="0" t="s">
        <v>101</v>
      </c>
      <c r="B21" s="0" t="s">
        <v>102</v>
      </c>
      <c r="C21" s="0" t="s">
        <v>100</v>
      </c>
      <c r="D21" s="0" t="s">
        <v>56</v>
      </c>
      <c r="F21" s="0" t="s">
        <v>27</v>
      </c>
      <c r="G21" s="0" t="s">
        <v>28</v>
      </c>
      <c r="M21" s="1" t="s">
        <v>41</v>
      </c>
      <c r="Q21" s="0" t="s">
        <v>32</v>
      </c>
    </row>
    <row r="22" customFormat="false" ht="14.25" hidden="false" customHeight="false" outlineLevel="0" collapsed="false">
      <c r="A22" s="0" t="s">
        <v>103</v>
      </c>
      <c r="B22" s="0" t="s">
        <v>104</v>
      </c>
      <c r="C22" s="0" t="s">
        <v>100</v>
      </c>
      <c r="D22" s="0" t="s">
        <v>56</v>
      </c>
      <c r="F22" s="0" t="s">
        <v>27</v>
      </c>
      <c r="G22" s="0" t="s">
        <v>28</v>
      </c>
      <c r="M22" s="1" t="s">
        <v>51</v>
      </c>
      <c r="Q22" s="0" t="s">
        <v>32</v>
      </c>
    </row>
    <row r="23" customFormat="false" ht="14.25" hidden="false" customHeight="false" outlineLevel="0" collapsed="false">
      <c r="A23" s="0" t="s">
        <v>105</v>
      </c>
      <c r="B23" s="0" t="s">
        <v>106</v>
      </c>
      <c r="C23" s="0" t="s">
        <v>107</v>
      </c>
      <c r="D23" s="0" t="s">
        <v>108</v>
      </c>
      <c r="F23" s="0" t="s">
        <v>27</v>
      </c>
      <c r="G23" s="0" t="s">
        <v>28</v>
      </c>
      <c r="M23" s="0" t="n">
        <v>2022</v>
      </c>
      <c r="O23" s="0" t="n">
        <v>1394</v>
      </c>
      <c r="Q23" s="0" t="s">
        <v>32</v>
      </c>
    </row>
    <row r="24" customFormat="false" ht="14.25" hidden="false" customHeight="false" outlineLevel="0" collapsed="false">
      <c r="A24" s="0" t="s">
        <v>109</v>
      </c>
      <c r="B24" s="0" t="s">
        <v>110</v>
      </c>
      <c r="C24" s="0" t="s">
        <v>107</v>
      </c>
      <c r="D24" s="0" t="s">
        <v>108</v>
      </c>
      <c r="F24" s="0" t="s">
        <v>27</v>
      </c>
      <c r="G24" s="0" t="s">
        <v>28</v>
      </c>
      <c r="M24" s="1" t="s">
        <v>41</v>
      </c>
      <c r="Q24" s="0" t="s">
        <v>32</v>
      </c>
    </row>
    <row r="25" customFormat="false" ht="14.25" hidden="false" customHeight="false" outlineLevel="0" collapsed="false">
      <c r="A25" s="0" t="s">
        <v>111</v>
      </c>
      <c r="B25" s="0" t="s">
        <v>112</v>
      </c>
      <c r="C25" s="0" t="s">
        <v>107</v>
      </c>
      <c r="D25" s="0" t="s">
        <v>108</v>
      </c>
      <c r="F25" s="0" t="s">
        <v>27</v>
      </c>
      <c r="G25" s="0" t="s">
        <v>28</v>
      </c>
      <c r="M25" s="1" t="s">
        <v>51</v>
      </c>
      <c r="Q25" s="0" t="s">
        <v>32</v>
      </c>
    </row>
    <row r="26" customFormat="false" ht="14.25" hidden="false" customHeight="false" outlineLevel="0" collapsed="false">
      <c r="A26" s="0" t="s">
        <v>113</v>
      </c>
      <c r="B26" s="0" t="s">
        <v>114</v>
      </c>
      <c r="C26" s="0" t="s">
        <v>115</v>
      </c>
      <c r="D26" s="0" t="s">
        <v>93</v>
      </c>
      <c r="F26" s="0" t="s">
        <v>27</v>
      </c>
      <c r="G26" s="0" t="s">
        <v>28</v>
      </c>
      <c r="M26" s="0" t="n">
        <v>2022</v>
      </c>
      <c r="O26" s="0" t="n">
        <v>2335</v>
      </c>
      <c r="Q26" s="0" t="s">
        <v>32</v>
      </c>
    </row>
    <row r="27" customFormat="false" ht="14.25" hidden="false" customHeight="false" outlineLevel="0" collapsed="false">
      <c r="A27" s="0" t="s">
        <v>116</v>
      </c>
      <c r="B27" s="0" t="s">
        <v>117</v>
      </c>
      <c r="C27" s="0" t="s">
        <v>115</v>
      </c>
      <c r="D27" s="0" t="s">
        <v>93</v>
      </c>
      <c r="F27" s="0" t="s">
        <v>27</v>
      </c>
      <c r="G27" s="0" t="s">
        <v>28</v>
      </c>
      <c r="M27" s="1" t="s">
        <v>41</v>
      </c>
      <c r="Q27" s="0" t="s">
        <v>32</v>
      </c>
    </row>
    <row r="28" customFormat="false" ht="14.25" hidden="false" customHeight="false" outlineLevel="0" collapsed="false">
      <c r="A28" s="0" t="s">
        <v>118</v>
      </c>
      <c r="B28" s="0" t="s">
        <v>119</v>
      </c>
      <c r="C28" s="0" t="s">
        <v>115</v>
      </c>
      <c r="D28" s="0" t="s">
        <v>93</v>
      </c>
      <c r="F28" s="0" t="s">
        <v>27</v>
      </c>
      <c r="G28" s="0" t="s">
        <v>28</v>
      </c>
      <c r="M28" s="1" t="s">
        <v>51</v>
      </c>
      <c r="Q28" s="0" t="s">
        <v>32</v>
      </c>
    </row>
    <row r="29" customFormat="false" ht="14.25" hidden="false" customHeight="false" outlineLevel="0" collapsed="false">
      <c r="A29" s="0" t="s">
        <v>120</v>
      </c>
      <c r="B29" s="0" t="s">
        <v>121</v>
      </c>
      <c r="C29" s="0" t="s">
        <v>122</v>
      </c>
      <c r="D29" s="0" t="s">
        <v>123</v>
      </c>
      <c r="F29" s="0" t="s">
        <v>27</v>
      </c>
      <c r="G29" s="0" t="s">
        <v>28</v>
      </c>
      <c r="M29" s="0" t="n">
        <v>2022</v>
      </c>
      <c r="O29" s="0" t="n">
        <v>7007</v>
      </c>
      <c r="Q29" s="0" t="s">
        <v>32</v>
      </c>
    </row>
    <row r="30" customFormat="false" ht="14.25" hidden="false" customHeight="false" outlineLevel="0" collapsed="false">
      <c r="A30" s="0" t="s">
        <v>124</v>
      </c>
      <c r="B30" s="0" t="s">
        <v>125</v>
      </c>
      <c r="C30" s="0" t="s">
        <v>122</v>
      </c>
      <c r="D30" s="0" t="s">
        <v>123</v>
      </c>
      <c r="F30" s="0" t="s">
        <v>27</v>
      </c>
      <c r="G30" s="0" t="s">
        <v>28</v>
      </c>
      <c r="M30" s="1" t="s">
        <v>41</v>
      </c>
      <c r="Q30" s="0" t="s">
        <v>32</v>
      </c>
    </row>
    <row r="31" customFormat="false" ht="14.25" hidden="false" customHeight="false" outlineLevel="0" collapsed="false">
      <c r="A31" s="0" t="s">
        <v>126</v>
      </c>
      <c r="B31" s="0" t="s">
        <v>127</v>
      </c>
      <c r="C31" s="0" t="s">
        <v>122</v>
      </c>
      <c r="D31" s="0" t="s">
        <v>123</v>
      </c>
      <c r="F31" s="0" t="s">
        <v>27</v>
      </c>
      <c r="G31" s="0" t="s">
        <v>28</v>
      </c>
      <c r="M31" s="1" t="s">
        <v>51</v>
      </c>
      <c r="Q31" s="0" t="s">
        <v>32</v>
      </c>
    </row>
    <row r="32" customFormat="false" ht="14.25" hidden="false" customHeight="false" outlineLevel="0" collapsed="false">
      <c r="A32" s="0" t="s">
        <v>128</v>
      </c>
      <c r="B32" s="0" t="s">
        <v>129</v>
      </c>
      <c r="C32" s="0" t="s">
        <v>130</v>
      </c>
      <c r="D32" s="0" t="s">
        <v>131</v>
      </c>
      <c r="F32" s="0" t="s">
        <v>132</v>
      </c>
      <c r="G32" s="0" t="s">
        <v>133</v>
      </c>
      <c r="O32" s="0" t="n">
        <v>328</v>
      </c>
      <c r="Q32" s="0" t="s">
        <v>134</v>
      </c>
      <c r="S32" s="0" t="n">
        <v>1.786666667</v>
      </c>
    </row>
    <row r="33" customFormat="false" ht="14.25" hidden="false" customHeight="false" outlineLevel="0" collapsed="false">
      <c r="A33" s="0" t="s">
        <v>135</v>
      </c>
      <c r="B33" s="0" t="s">
        <v>136</v>
      </c>
      <c r="F33" s="0" t="s">
        <v>137</v>
      </c>
      <c r="G33" s="0" t="s">
        <v>138</v>
      </c>
    </row>
    <row r="34" customFormat="false" ht="14.25" hidden="false" customHeight="false" outlineLevel="0" collapsed="false">
      <c r="A34" s="0" t="s">
        <v>139</v>
      </c>
      <c r="B34" s="0" t="s">
        <v>140</v>
      </c>
      <c r="F34" s="0" t="s">
        <v>141</v>
      </c>
      <c r="G34" s="0" t="s">
        <v>142</v>
      </c>
    </row>
    <row r="35" customFormat="false" ht="14.25" hidden="false" customHeight="false" outlineLevel="0" collapsed="false">
      <c r="A35" s="0" t="s">
        <v>143</v>
      </c>
      <c r="B35" s="0" t="s">
        <v>144</v>
      </c>
      <c r="C35" s="0" t="s">
        <v>55</v>
      </c>
      <c r="D35" s="0" t="s">
        <v>56</v>
      </c>
      <c r="F35" s="0" t="s">
        <v>141</v>
      </c>
      <c r="G35" s="0" t="s">
        <v>142</v>
      </c>
      <c r="M35" s="0" t="n">
        <v>2022</v>
      </c>
      <c r="O35" s="0" t="n">
        <v>3.5</v>
      </c>
      <c r="Q35" s="0" t="s">
        <v>145</v>
      </c>
    </row>
    <row r="36" customFormat="false" ht="14.25" hidden="false" customHeight="false" outlineLevel="0" collapsed="false">
      <c r="A36" s="0" t="s">
        <v>146</v>
      </c>
      <c r="B36" s="0" t="s">
        <v>147</v>
      </c>
      <c r="C36" s="0" t="s">
        <v>55</v>
      </c>
      <c r="D36" s="0" t="s">
        <v>56</v>
      </c>
      <c r="F36" s="0" t="s">
        <v>141</v>
      </c>
      <c r="G36" s="0" t="s">
        <v>142</v>
      </c>
      <c r="M36" s="0" t="n">
        <v>2022</v>
      </c>
      <c r="O36" s="0" t="n">
        <v>5.037</v>
      </c>
      <c r="Q36" s="0" t="s">
        <v>148</v>
      </c>
    </row>
    <row r="37" customFormat="false" ht="14.25" hidden="false" customHeight="false" outlineLevel="0" collapsed="false">
      <c r="A37" s="0" t="s">
        <v>149</v>
      </c>
      <c r="B37" s="0" t="s">
        <v>150</v>
      </c>
      <c r="C37" s="0" t="s">
        <v>55</v>
      </c>
      <c r="D37" s="0" t="s">
        <v>56</v>
      </c>
      <c r="F37" s="0" t="s">
        <v>141</v>
      </c>
      <c r="G37" s="0" t="s">
        <v>142</v>
      </c>
      <c r="M37" s="0" t="n">
        <v>2022</v>
      </c>
      <c r="O37" s="0" t="n">
        <v>1.918</v>
      </c>
      <c r="Q37" s="0" t="s">
        <v>151</v>
      </c>
    </row>
    <row r="38" customFormat="false" ht="14.25" hidden="false" customHeight="false" outlineLevel="0" collapsed="false">
      <c r="A38" s="0" t="s">
        <v>152</v>
      </c>
      <c r="B38" s="0" t="s">
        <v>153</v>
      </c>
      <c r="C38" s="0" t="s">
        <v>154</v>
      </c>
      <c r="D38" s="0" t="s">
        <v>131</v>
      </c>
      <c r="F38" s="0" t="s">
        <v>155</v>
      </c>
      <c r="G38" s="0" t="s">
        <v>156</v>
      </c>
      <c r="M38" s="0" t="n">
        <v>2020</v>
      </c>
      <c r="O38" s="0" t="n">
        <v>900</v>
      </c>
      <c r="Q38" s="0" t="s">
        <v>134</v>
      </c>
    </row>
    <row r="39" customFormat="false" ht="14.25" hidden="false" customHeight="false" outlineLevel="0" collapsed="false">
      <c r="A39" s="0" t="s">
        <v>157</v>
      </c>
      <c r="B39" s="0" t="s">
        <v>158</v>
      </c>
      <c r="C39" s="0" t="s">
        <v>159</v>
      </c>
      <c r="D39" s="0" t="s">
        <v>160</v>
      </c>
      <c r="F39" s="0" t="s">
        <v>132</v>
      </c>
      <c r="G39" s="0" t="s">
        <v>161</v>
      </c>
      <c r="M39" s="0" t="s">
        <v>162</v>
      </c>
      <c r="O39" s="0" t="n">
        <v>34.5</v>
      </c>
      <c r="P39" s="0" t="n">
        <v>30</v>
      </c>
      <c r="Q39" s="0" t="s">
        <v>134</v>
      </c>
      <c r="S39" s="0" t="n">
        <v>5.9</v>
      </c>
    </row>
    <row r="40" customFormat="false" ht="14.25" hidden="false" customHeight="false" outlineLevel="0" collapsed="false">
      <c r="A40" s="0" t="s">
        <v>163</v>
      </c>
      <c r="B40" s="0" t="s">
        <v>158</v>
      </c>
      <c r="C40" s="0" t="s">
        <v>159</v>
      </c>
      <c r="D40" s="0" t="s">
        <v>160</v>
      </c>
      <c r="F40" s="0" t="s">
        <v>132</v>
      </c>
      <c r="G40" s="0" t="s">
        <v>164</v>
      </c>
      <c r="M40" s="0" t="s">
        <v>162</v>
      </c>
      <c r="O40" s="0" t="n">
        <v>34.5</v>
      </c>
      <c r="Q40" s="0" t="s">
        <v>148</v>
      </c>
      <c r="S40" s="0" t="n">
        <v>5.1</v>
      </c>
    </row>
    <row r="41" customFormat="false" ht="14.25" hidden="false" customHeight="false" outlineLevel="0" collapsed="false">
      <c r="A41" s="0" t="s">
        <v>165</v>
      </c>
      <c r="B41" s="0" t="s">
        <v>158</v>
      </c>
      <c r="C41" s="0" t="s">
        <v>159</v>
      </c>
      <c r="D41" s="0" t="s">
        <v>160</v>
      </c>
      <c r="F41" s="0" t="s">
        <v>132</v>
      </c>
      <c r="G41" s="0" t="s">
        <v>166</v>
      </c>
      <c r="M41" s="0" t="s">
        <v>162</v>
      </c>
      <c r="O41" s="0" t="n">
        <v>34.5</v>
      </c>
      <c r="Q41" s="0" t="s">
        <v>167</v>
      </c>
      <c r="S41" s="0" t="n">
        <v>6.1</v>
      </c>
    </row>
    <row r="42" customFormat="false" ht="14.25" hidden="false" customHeight="false" outlineLevel="0" collapsed="false">
      <c r="A42" s="0" t="s">
        <v>168</v>
      </c>
      <c r="B42" s="0" t="s">
        <v>158</v>
      </c>
      <c r="C42" s="0" t="s">
        <v>159</v>
      </c>
      <c r="D42" s="0" t="s">
        <v>160</v>
      </c>
      <c r="F42" s="0" t="s">
        <v>132</v>
      </c>
      <c r="G42" s="0" t="s">
        <v>169</v>
      </c>
      <c r="M42" s="0" t="s">
        <v>162</v>
      </c>
      <c r="O42" s="0" t="n">
        <v>34.5</v>
      </c>
      <c r="Q42" s="0" t="s">
        <v>170</v>
      </c>
      <c r="S42" s="0" t="n">
        <v>8.4</v>
      </c>
    </row>
    <row r="43" customFormat="false" ht="14.25" hidden="false" customHeight="false" outlineLevel="0" collapsed="false">
      <c r="A43" s="0" t="s">
        <v>171</v>
      </c>
      <c r="B43" s="0" t="s">
        <v>158</v>
      </c>
      <c r="C43" s="0" t="s">
        <v>159</v>
      </c>
      <c r="D43" s="0" t="s">
        <v>160</v>
      </c>
      <c r="F43" s="0" t="s">
        <v>132</v>
      </c>
      <c r="G43" s="0" t="s">
        <v>172</v>
      </c>
      <c r="M43" s="0" t="s">
        <v>162</v>
      </c>
      <c r="O43" s="0" t="n">
        <v>34.5</v>
      </c>
      <c r="Q43" s="0" t="s">
        <v>134</v>
      </c>
      <c r="S43" s="0" t="n">
        <v>6.5</v>
      </c>
    </row>
    <row r="44" customFormat="false" ht="14.25" hidden="false" customHeight="false" outlineLevel="0" collapsed="false">
      <c r="A44" s="0" t="s">
        <v>173</v>
      </c>
      <c r="B44" s="0" t="s">
        <v>158</v>
      </c>
      <c r="C44" s="0" t="s">
        <v>159</v>
      </c>
      <c r="D44" s="0" t="s">
        <v>160</v>
      </c>
      <c r="F44" s="0" t="s">
        <v>132</v>
      </c>
      <c r="G44" s="0" t="s">
        <v>174</v>
      </c>
      <c r="M44" s="0" t="s">
        <v>162</v>
      </c>
      <c r="O44" s="0" t="n">
        <v>34.5</v>
      </c>
      <c r="Q44" s="0" t="s">
        <v>175</v>
      </c>
      <c r="S44" s="0" t="n">
        <v>2.8</v>
      </c>
    </row>
    <row r="45" customFormat="false" ht="14.25" hidden="false" customHeight="false" outlineLevel="0" collapsed="false">
      <c r="A45" s="0" t="s">
        <v>176</v>
      </c>
      <c r="B45" s="0" t="s">
        <v>177</v>
      </c>
      <c r="C45" s="0" t="s">
        <v>178</v>
      </c>
      <c r="D45" s="0" t="s">
        <v>131</v>
      </c>
      <c r="F45" s="0" t="s">
        <v>132</v>
      </c>
      <c r="G45" s="0" t="s">
        <v>179</v>
      </c>
      <c r="M45" s="0" t="n">
        <v>2018</v>
      </c>
      <c r="O45" s="0" t="n">
        <v>370</v>
      </c>
      <c r="S45" s="0" t="n">
        <v>2.341333333</v>
      </c>
    </row>
    <row r="46" customFormat="false" ht="14.25" hidden="false" customHeight="false" outlineLevel="0" collapsed="false">
      <c r="A46" s="0" t="s">
        <v>180</v>
      </c>
      <c r="B46" s="0" t="s">
        <v>177</v>
      </c>
      <c r="C46" s="0" t="s">
        <v>178</v>
      </c>
      <c r="D46" s="0" t="s">
        <v>131</v>
      </c>
      <c r="F46" s="0" t="s">
        <v>132</v>
      </c>
      <c r="G46" s="0" t="s">
        <v>179</v>
      </c>
      <c r="M46" s="0" t="n">
        <v>2018</v>
      </c>
      <c r="O46" s="0" t="n">
        <v>395</v>
      </c>
      <c r="S46" s="0" t="n">
        <v>2.661333333</v>
      </c>
    </row>
    <row r="47" customFormat="false" ht="14.25" hidden="false" customHeight="false" outlineLevel="0" collapsed="false">
      <c r="A47" s="0" t="s">
        <v>181</v>
      </c>
      <c r="B47" s="0" t="s">
        <v>182</v>
      </c>
      <c r="C47" s="0" t="s">
        <v>183</v>
      </c>
      <c r="D47" s="0" t="s">
        <v>184</v>
      </c>
      <c r="F47" s="0" t="s">
        <v>132</v>
      </c>
      <c r="M47" s="0" t="n">
        <v>2018</v>
      </c>
      <c r="O47" s="0" t="n">
        <v>370</v>
      </c>
      <c r="Q47" s="0" t="s">
        <v>145</v>
      </c>
      <c r="S47" s="0" t="n">
        <v>2.770666667</v>
      </c>
    </row>
    <row r="48" customFormat="false" ht="14.25" hidden="false" customHeight="false" outlineLevel="0" collapsed="false">
      <c r="A48" s="0" t="s">
        <v>185</v>
      </c>
      <c r="B48" s="0" t="s">
        <v>186</v>
      </c>
      <c r="C48" s="0" t="s">
        <v>183</v>
      </c>
      <c r="D48" s="0" t="s">
        <v>184</v>
      </c>
      <c r="F48" s="0" t="s">
        <v>132</v>
      </c>
      <c r="M48" s="0" t="n">
        <v>2018</v>
      </c>
      <c r="O48" s="0" t="n">
        <v>395</v>
      </c>
      <c r="Q48" s="0" t="s">
        <v>145</v>
      </c>
      <c r="S48" s="0" t="n">
        <v>2.784</v>
      </c>
    </row>
    <row r="49" customFormat="false" ht="14.25" hidden="false" customHeight="false" outlineLevel="0" collapsed="false">
      <c r="A49" s="0" t="s">
        <v>187</v>
      </c>
      <c r="B49" s="0" t="s">
        <v>188</v>
      </c>
      <c r="C49" s="0" t="s">
        <v>189</v>
      </c>
      <c r="D49" s="0" t="s">
        <v>131</v>
      </c>
      <c r="F49" s="0" t="s">
        <v>132</v>
      </c>
      <c r="G49" s="0" t="s">
        <v>190</v>
      </c>
      <c r="M49" s="0" t="n">
        <v>2021</v>
      </c>
      <c r="O49" s="0" t="n">
        <v>27.98</v>
      </c>
      <c r="P49" s="0" t="n">
        <v>26.62</v>
      </c>
      <c r="Q49" s="0" t="s">
        <v>134</v>
      </c>
      <c r="S49" s="0" t="n">
        <v>2.856</v>
      </c>
    </row>
    <row r="50" customFormat="false" ht="14.25" hidden="false" customHeight="false" outlineLevel="0" collapsed="false">
      <c r="A50" s="0" t="s">
        <v>191</v>
      </c>
      <c r="B50" s="0" t="s">
        <v>188</v>
      </c>
      <c r="C50" s="0" t="s">
        <v>189</v>
      </c>
      <c r="D50" s="0" t="s">
        <v>131</v>
      </c>
      <c r="F50" s="0" t="s">
        <v>132</v>
      </c>
      <c r="G50" s="0" t="s">
        <v>192</v>
      </c>
      <c r="M50" s="0" t="n">
        <v>2021</v>
      </c>
      <c r="O50" s="0" t="n">
        <v>27.96</v>
      </c>
      <c r="P50" s="0" t="n">
        <v>27.83</v>
      </c>
      <c r="Q50" s="0" t="s">
        <v>134</v>
      </c>
      <c r="S50" s="0" t="n">
        <v>2.858666667</v>
      </c>
    </row>
    <row r="51" customFormat="false" ht="14.25" hidden="false" customHeight="false" outlineLevel="0" collapsed="false">
      <c r="A51" s="0" t="s">
        <v>193</v>
      </c>
      <c r="B51" s="0" t="s">
        <v>188</v>
      </c>
      <c r="C51" s="0" t="s">
        <v>189</v>
      </c>
      <c r="D51" s="0" t="s">
        <v>131</v>
      </c>
      <c r="F51" s="0" t="s">
        <v>132</v>
      </c>
      <c r="G51" s="0" t="s">
        <v>194</v>
      </c>
      <c r="M51" s="0" t="n">
        <v>2021</v>
      </c>
      <c r="O51" s="0" t="n">
        <v>28</v>
      </c>
      <c r="P51" s="0" t="n">
        <v>27.75</v>
      </c>
      <c r="Q51" s="0" t="s">
        <v>134</v>
      </c>
      <c r="S51" s="0" t="n">
        <v>3.234666667</v>
      </c>
    </row>
    <row r="52" customFormat="false" ht="14.25" hidden="false" customHeight="false" outlineLevel="0" collapsed="false">
      <c r="A52" s="0" t="s">
        <v>195</v>
      </c>
      <c r="B52" s="0" t="s">
        <v>196</v>
      </c>
      <c r="C52" s="0" t="s">
        <v>107</v>
      </c>
      <c r="D52" s="0" t="s">
        <v>197</v>
      </c>
      <c r="F52" s="0" t="s">
        <v>132</v>
      </c>
      <c r="G52" s="0" t="s">
        <v>196</v>
      </c>
      <c r="M52" s="0" t="n">
        <v>2020</v>
      </c>
      <c r="O52" s="0" t="n">
        <v>300</v>
      </c>
      <c r="P52" s="0" t="n">
        <v>272</v>
      </c>
      <c r="Q52" s="0" t="s">
        <v>198</v>
      </c>
      <c r="S52" s="0" t="n">
        <v>2.48</v>
      </c>
    </row>
    <row r="53" customFormat="false" ht="14.25" hidden="false" customHeight="false" outlineLevel="0" collapsed="false">
      <c r="A53" s="0" t="s">
        <v>199</v>
      </c>
      <c r="B53" s="0" t="s">
        <v>200</v>
      </c>
      <c r="C53" s="0" t="s">
        <v>122</v>
      </c>
      <c r="D53" s="0" t="s">
        <v>123</v>
      </c>
      <c r="F53" s="0" t="s">
        <v>132</v>
      </c>
      <c r="G53" s="0" t="s">
        <v>201</v>
      </c>
      <c r="M53" s="0" t="n">
        <v>2019</v>
      </c>
      <c r="O53" s="0" t="n">
        <v>133.85</v>
      </c>
      <c r="P53" s="0" t="n">
        <v>100</v>
      </c>
      <c r="Q53" s="0" t="s">
        <v>134</v>
      </c>
      <c r="S53" s="0" t="n">
        <v>2.33</v>
      </c>
    </row>
    <row r="54" customFormat="false" ht="14.25" hidden="false" customHeight="false" outlineLevel="0" collapsed="false">
      <c r="A54" s="0" t="s">
        <v>202</v>
      </c>
      <c r="B54" s="0" t="s">
        <v>203</v>
      </c>
      <c r="C54" s="0" t="s">
        <v>204</v>
      </c>
      <c r="D54" s="0" t="s">
        <v>205</v>
      </c>
      <c r="F54" s="0" t="s">
        <v>132</v>
      </c>
      <c r="G54" s="0" t="s">
        <v>206</v>
      </c>
      <c r="M54" s="0" t="n">
        <v>2019</v>
      </c>
      <c r="O54" s="0" t="n">
        <v>64.3</v>
      </c>
      <c r="Q54" s="0" t="s">
        <v>198</v>
      </c>
      <c r="S54" s="0" t="n">
        <v>2.39</v>
      </c>
    </row>
    <row r="55" customFormat="false" ht="14.25" hidden="false" customHeight="false" outlineLevel="0" collapsed="false">
      <c r="A55" s="0" t="s">
        <v>207</v>
      </c>
      <c r="B55" s="0" t="s">
        <v>208</v>
      </c>
      <c r="C55" s="0" t="s">
        <v>209</v>
      </c>
      <c r="D55" s="0" t="s">
        <v>210</v>
      </c>
      <c r="F55" s="0" t="s">
        <v>30</v>
      </c>
      <c r="G55" s="0" t="s">
        <v>201</v>
      </c>
      <c r="M55" s="0" t="n">
        <v>2018</v>
      </c>
      <c r="O55" s="0" t="n">
        <v>34.993</v>
      </c>
      <c r="P55" s="0" t="n">
        <v>25.5</v>
      </c>
    </row>
    <row r="56" customFormat="false" ht="14.25" hidden="false" customHeight="false" outlineLevel="0" collapsed="false">
      <c r="A56" s="0" t="s">
        <v>211</v>
      </c>
      <c r="B56" s="0" t="s">
        <v>212</v>
      </c>
      <c r="C56" s="0" t="s">
        <v>213</v>
      </c>
      <c r="D56" s="0" t="s">
        <v>131</v>
      </c>
      <c r="F56" s="0" t="s">
        <v>137</v>
      </c>
      <c r="G56" s="0" t="s">
        <v>214</v>
      </c>
      <c r="M56" s="0" t="n">
        <v>2018</v>
      </c>
      <c r="O56" s="0" t="n">
        <v>676.6666667</v>
      </c>
      <c r="Q56" s="0" t="s">
        <v>198</v>
      </c>
    </row>
    <row r="57" customFormat="false" ht="14.25" hidden="false" customHeight="false" outlineLevel="0" collapsed="false">
      <c r="A57" s="0" t="s">
        <v>215</v>
      </c>
      <c r="B57" s="0" t="s">
        <v>212</v>
      </c>
      <c r="C57" s="0" t="s">
        <v>213</v>
      </c>
      <c r="D57" s="0" t="s">
        <v>131</v>
      </c>
      <c r="F57" s="0" t="s">
        <v>137</v>
      </c>
      <c r="G57" s="0" t="s">
        <v>216</v>
      </c>
      <c r="M57" s="0" t="n">
        <v>2018</v>
      </c>
      <c r="O57" s="0" t="n">
        <v>566.6666667</v>
      </c>
      <c r="Q57" s="0" t="s">
        <v>134</v>
      </c>
    </row>
    <row r="58" customFormat="false" ht="14.25" hidden="false" customHeight="false" outlineLevel="0" collapsed="false">
      <c r="A58" s="0" t="s">
        <v>217</v>
      </c>
      <c r="B58" s="0" t="s">
        <v>212</v>
      </c>
      <c r="C58" s="0" t="s">
        <v>213</v>
      </c>
      <c r="D58" s="0" t="s">
        <v>131</v>
      </c>
      <c r="F58" s="0" t="s">
        <v>137</v>
      </c>
      <c r="G58" s="0" t="s">
        <v>216</v>
      </c>
      <c r="M58" s="0" t="n">
        <v>2018</v>
      </c>
      <c r="O58" s="0" t="n">
        <v>668.8888889</v>
      </c>
      <c r="Q58" s="0" t="s">
        <v>218</v>
      </c>
    </row>
    <row r="59" customFormat="false" ht="14.25" hidden="false" customHeight="false" outlineLevel="0" collapsed="false">
      <c r="A59" s="0" t="s">
        <v>219</v>
      </c>
      <c r="B59" s="0" t="s">
        <v>220</v>
      </c>
      <c r="C59" s="0" t="s">
        <v>130</v>
      </c>
      <c r="D59" s="0" t="s">
        <v>131</v>
      </c>
      <c r="F59" s="0" t="s">
        <v>137</v>
      </c>
      <c r="G59" s="0" t="s">
        <v>216</v>
      </c>
      <c r="M59" s="0" t="n">
        <v>2018</v>
      </c>
      <c r="O59" s="0" t="n">
        <v>30</v>
      </c>
      <c r="Q59" s="0" t="s">
        <v>134</v>
      </c>
    </row>
    <row r="60" customFormat="false" ht="14.25" hidden="false" customHeight="false" outlineLevel="0" collapsed="false">
      <c r="A60" s="0" t="s">
        <v>221</v>
      </c>
      <c r="B60" s="0" t="s">
        <v>222</v>
      </c>
      <c r="C60" s="0" t="s">
        <v>223</v>
      </c>
      <c r="D60" s="0" t="s">
        <v>224</v>
      </c>
      <c r="F60" s="0" t="s">
        <v>137</v>
      </c>
      <c r="G60" s="0" t="s">
        <v>225</v>
      </c>
      <c r="M60" s="0" t="n">
        <v>2018</v>
      </c>
      <c r="O60" s="0" t="n">
        <v>38.9</v>
      </c>
      <c r="P60" s="0" t="n">
        <v>29.916</v>
      </c>
      <c r="Q60" s="0" t="s">
        <v>226</v>
      </c>
    </row>
    <row r="61" customFormat="false" ht="14.25" hidden="false" customHeight="false" outlineLevel="0" collapsed="false">
      <c r="A61" s="0" t="s">
        <v>227</v>
      </c>
      <c r="B61" s="0" t="s">
        <v>228</v>
      </c>
      <c r="C61" s="0" t="s">
        <v>92</v>
      </c>
      <c r="D61" s="0" t="s">
        <v>93</v>
      </c>
      <c r="F61" s="0" t="s">
        <v>137</v>
      </c>
      <c r="G61" s="0" t="s">
        <v>206</v>
      </c>
      <c r="M61" s="0" t="n">
        <v>2018</v>
      </c>
      <c r="O61" s="0" t="n">
        <v>10.2</v>
      </c>
      <c r="Q61" s="0" t="s">
        <v>218</v>
      </c>
    </row>
    <row r="62" customFormat="false" ht="14.25" hidden="false" customHeight="false" outlineLevel="0" collapsed="false">
      <c r="A62" s="0" t="s">
        <v>229</v>
      </c>
      <c r="B62" s="0" t="s">
        <v>230</v>
      </c>
      <c r="C62" s="0" t="s">
        <v>92</v>
      </c>
      <c r="D62" s="0" t="s">
        <v>93</v>
      </c>
      <c r="F62" s="0" t="s">
        <v>137</v>
      </c>
      <c r="G62" s="0" t="s">
        <v>206</v>
      </c>
      <c r="M62" s="0" t="n">
        <v>2018</v>
      </c>
      <c r="O62" s="0" t="n">
        <v>9.3</v>
      </c>
      <c r="Q62" s="0" t="s">
        <v>218</v>
      </c>
    </row>
    <row r="63" customFormat="false" ht="14.25" hidden="false" customHeight="false" outlineLevel="0" collapsed="false">
      <c r="A63" s="0" t="s">
        <v>231</v>
      </c>
      <c r="B63" s="0" t="s">
        <v>232</v>
      </c>
      <c r="C63" s="0" t="s">
        <v>233</v>
      </c>
      <c r="D63" s="0" t="s">
        <v>234</v>
      </c>
      <c r="F63" s="0" t="s">
        <v>137</v>
      </c>
      <c r="G63" s="0" t="s">
        <v>201</v>
      </c>
      <c r="M63" s="0" t="n">
        <v>2018</v>
      </c>
      <c r="O63" s="0" t="n">
        <v>112.535</v>
      </c>
      <c r="P63" s="0" t="n">
        <v>100</v>
      </c>
      <c r="Q63" s="0" t="s">
        <v>198</v>
      </c>
    </row>
    <row r="64" customFormat="false" ht="14.25" hidden="false" customHeight="false" outlineLevel="0" collapsed="false">
      <c r="A64" s="0" t="s">
        <v>235</v>
      </c>
      <c r="B64" s="0" t="s">
        <v>236</v>
      </c>
      <c r="C64" s="0" t="s">
        <v>204</v>
      </c>
      <c r="D64" s="0" t="s">
        <v>205</v>
      </c>
      <c r="F64" s="0" t="s">
        <v>137</v>
      </c>
      <c r="G64" s="0" t="s">
        <v>206</v>
      </c>
      <c r="M64" s="0" t="n">
        <v>2017</v>
      </c>
      <c r="O64" s="0" t="n">
        <v>63.7</v>
      </c>
      <c r="Q64" s="0" t="s">
        <v>198</v>
      </c>
    </row>
    <row r="65" customFormat="false" ht="14.25" hidden="false" customHeight="false" outlineLevel="0" collapsed="false">
      <c r="A65" s="0" t="s">
        <v>237</v>
      </c>
      <c r="B65" s="0" t="s">
        <v>238</v>
      </c>
      <c r="C65" s="0" t="s">
        <v>55</v>
      </c>
      <c r="D65" s="0" t="s">
        <v>56</v>
      </c>
      <c r="F65" s="0" t="s">
        <v>132</v>
      </c>
      <c r="G65" s="0" t="s">
        <v>239</v>
      </c>
      <c r="M65" s="0" t="n">
        <v>2017</v>
      </c>
      <c r="O65" s="0" t="n">
        <v>10</v>
      </c>
      <c r="P65" s="0" t="n">
        <v>8.38</v>
      </c>
      <c r="S65" s="0" t="n">
        <v>3.958</v>
      </c>
    </row>
    <row r="66" customFormat="false" ht="14.25" hidden="false" customHeight="false" outlineLevel="0" collapsed="false">
      <c r="A66" s="0" t="s">
        <v>240</v>
      </c>
      <c r="B66" s="0" t="s">
        <v>241</v>
      </c>
      <c r="C66" s="0" t="s">
        <v>115</v>
      </c>
      <c r="D66" s="0" t="s">
        <v>93</v>
      </c>
      <c r="F66" s="0" t="s">
        <v>132</v>
      </c>
      <c r="G66" s="0" t="s">
        <v>206</v>
      </c>
      <c r="M66" s="0" t="n">
        <v>2017</v>
      </c>
      <c r="O66" s="0" t="n">
        <v>5</v>
      </c>
      <c r="Q66" s="0" t="s">
        <v>218</v>
      </c>
      <c r="S66" s="0" t="n">
        <v>4.482</v>
      </c>
    </row>
    <row r="67" customFormat="false" ht="14.25" hidden="false" customHeight="false" outlineLevel="0" collapsed="false">
      <c r="A67" s="0" t="s">
        <v>242</v>
      </c>
      <c r="B67" s="0" t="s">
        <v>243</v>
      </c>
      <c r="C67" s="0" t="s">
        <v>154</v>
      </c>
      <c r="D67" s="0" t="s">
        <v>131</v>
      </c>
      <c r="F67" s="0" t="s">
        <v>132</v>
      </c>
      <c r="G67" s="0" t="s">
        <v>244</v>
      </c>
      <c r="M67" s="0" t="n">
        <v>2016</v>
      </c>
      <c r="O67" s="0" t="n">
        <v>1177</v>
      </c>
      <c r="Q67" s="0" t="s">
        <v>226</v>
      </c>
      <c r="S67" s="0" t="n">
        <v>4.436</v>
      </c>
    </row>
    <row r="68" customFormat="false" ht="14.25" hidden="false" customHeight="false" outlineLevel="0" collapsed="false">
      <c r="A68" s="0" t="s">
        <v>245</v>
      </c>
      <c r="B68" s="0" t="s">
        <v>243</v>
      </c>
      <c r="C68" s="0" t="s">
        <v>154</v>
      </c>
      <c r="D68" s="0" t="s">
        <v>131</v>
      </c>
      <c r="F68" s="0" t="s">
        <v>132</v>
      </c>
      <c r="G68" s="0" t="s">
        <v>133</v>
      </c>
      <c r="M68" s="0" t="n">
        <v>2016</v>
      </c>
      <c r="O68" s="0" t="n">
        <v>1226</v>
      </c>
      <c r="Q68" s="0" t="s">
        <v>226</v>
      </c>
      <c r="S68" s="0" t="n">
        <v>2.997</v>
      </c>
    </row>
    <row r="69" customFormat="false" ht="14.25" hidden="false" customHeight="false" outlineLevel="0" collapsed="false">
      <c r="A69" s="0" t="s">
        <v>246</v>
      </c>
      <c r="B69" s="0" t="s">
        <v>243</v>
      </c>
      <c r="C69" s="0" t="s">
        <v>154</v>
      </c>
      <c r="D69" s="0" t="s">
        <v>131</v>
      </c>
      <c r="F69" s="0" t="s">
        <v>132</v>
      </c>
      <c r="G69" s="0" t="s">
        <v>247</v>
      </c>
      <c r="M69" s="0" t="n">
        <v>2016</v>
      </c>
      <c r="O69" s="0" t="n">
        <v>1021</v>
      </c>
      <c r="Q69" s="0" t="s">
        <v>218</v>
      </c>
      <c r="S69" s="0" t="n">
        <v>3.695</v>
      </c>
    </row>
    <row r="70" customFormat="false" ht="14.25" hidden="false" customHeight="false" outlineLevel="0" collapsed="false">
      <c r="A70" s="0" t="s">
        <v>248</v>
      </c>
      <c r="B70" s="0" t="s">
        <v>243</v>
      </c>
      <c r="C70" s="0" t="s">
        <v>154</v>
      </c>
      <c r="D70" s="0" t="s">
        <v>131</v>
      </c>
      <c r="F70" s="0" t="s">
        <v>132</v>
      </c>
      <c r="G70" s="0" t="s">
        <v>249</v>
      </c>
      <c r="M70" s="0" t="n">
        <v>2016</v>
      </c>
      <c r="O70" s="0" t="n">
        <v>871</v>
      </c>
      <c r="Q70" s="0" t="s">
        <v>218</v>
      </c>
      <c r="S70" s="0" t="n">
        <v>3.948</v>
      </c>
    </row>
    <row r="71" customFormat="false" ht="14.25" hidden="false" customHeight="false" outlineLevel="0" collapsed="false">
      <c r="A71" s="0" t="s">
        <v>250</v>
      </c>
      <c r="B71" s="0" t="s">
        <v>243</v>
      </c>
      <c r="C71" s="0" t="s">
        <v>154</v>
      </c>
      <c r="D71" s="0" t="s">
        <v>131</v>
      </c>
      <c r="F71" s="0" t="s">
        <v>132</v>
      </c>
      <c r="G71" s="0" t="s">
        <v>251</v>
      </c>
      <c r="M71" s="0" t="n">
        <v>2016</v>
      </c>
      <c r="O71" s="0" t="n">
        <v>983</v>
      </c>
      <c r="Q71" s="0" t="s">
        <v>226</v>
      </c>
      <c r="S71" s="0" t="n">
        <v>4.087</v>
      </c>
    </row>
    <row r="72" customFormat="false" ht="14.25" hidden="false" customHeight="false" outlineLevel="0" collapsed="false">
      <c r="A72" s="0" t="s">
        <v>252</v>
      </c>
      <c r="B72" s="0" t="s">
        <v>243</v>
      </c>
      <c r="C72" s="0" t="s">
        <v>154</v>
      </c>
      <c r="D72" s="0" t="s">
        <v>131</v>
      </c>
      <c r="F72" s="0" t="s">
        <v>132</v>
      </c>
      <c r="G72" s="0" t="s">
        <v>253</v>
      </c>
      <c r="M72" s="0" t="n">
        <v>2016</v>
      </c>
      <c r="O72" s="0" t="n">
        <v>508</v>
      </c>
      <c r="Q72" s="0" t="s">
        <v>218</v>
      </c>
      <c r="S72" s="0" t="n">
        <v>4.337</v>
      </c>
    </row>
    <row r="73" customFormat="false" ht="14.25" hidden="false" customHeight="false" outlineLevel="0" collapsed="false">
      <c r="A73" s="0" t="s">
        <v>254</v>
      </c>
      <c r="B73" s="0" t="s">
        <v>255</v>
      </c>
      <c r="C73" s="0" t="s">
        <v>115</v>
      </c>
      <c r="D73" s="0" t="s">
        <v>93</v>
      </c>
      <c r="F73" s="0" t="s">
        <v>132</v>
      </c>
      <c r="G73" s="0" t="s">
        <v>206</v>
      </c>
      <c r="M73" s="0" t="n">
        <v>2016</v>
      </c>
      <c r="O73" s="0" t="n">
        <v>5</v>
      </c>
      <c r="S73" s="0" t="n">
        <v>2.88</v>
      </c>
    </row>
    <row r="74" customFormat="false" ht="14.25" hidden="false" customHeight="false" outlineLevel="0" collapsed="false">
      <c r="A74" s="0" t="s">
        <v>256</v>
      </c>
      <c r="B74" s="0" t="s">
        <v>257</v>
      </c>
      <c r="C74" s="0" t="s">
        <v>154</v>
      </c>
      <c r="D74" s="0" t="s">
        <v>131</v>
      </c>
      <c r="F74" s="0" t="s">
        <v>132</v>
      </c>
      <c r="G74" s="0" t="s">
        <v>214</v>
      </c>
      <c r="M74" s="0" t="n">
        <v>2016</v>
      </c>
      <c r="O74" s="0" t="n">
        <v>250</v>
      </c>
      <c r="Q74" s="0" t="s">
        <v>198</v>
      </c>
      <c r="S74" s="0" t="n">
        <v>3.395</v>
      </c>
    </row>
    <row r="75" customFormat="false" ht="14.25" hidden="false" customHeight="false" outlineLevel="0" collapsed="false">
      <c r="A75" s="0" t="s">
        <v>258</v>
      </c>
      <c r="B75" s="0" t="s">
        <v>257</v>
      </c>
      <c r="C75" s="0" t="s">
        <v>154</v>
      </c>
      <c r="D75" s="0" t="s">
        <v>131</v>
      </c>
      <c r="F75" s="0" t="s">
        <v>132</v>
      </c>
      <c r="G75" s="0" t="s">
        <v>259</v>
      </c>
      <c r="M75" s="0" t="n">
        <v>2016</v>
      </c>
      <c r="O75" s="0" t="n">
        <v>265</v>
      </c>
      <c r="Q75" s="0" t="s">
        <v>198</v>
      </c>
      <c r="S75" s="0" t="n">
        <v>4.047</v>
      </c>
    </row>
    <row r="76" customFormat="false" ht="14.25" hidden="false" customHeight="false" outlineLevel="0" collapsed="false">
      <c r="A76" s="0" t="s">
        <v>260</v>
      </c>
      <c r="B76" s="0" t="s">
        <v>257</v>
      </c>
      <c r="C76" s="0" t="s">
        <v>154</v>
      </c>
      <c r="D76" s="0" t="s">
        <v>131</v>
      </c>
      <c r="F76" s="0" t="s">
        <v>132</v>
      </c>
      <c r="G76" s="0" t="s">
        <v>138</v>
      </c>
      <c r="M76" s="0" t="n">
        <v>2016</v>
      </c>
      <c r="O76" s="0" t="n">
        <v>251</v>
      </c>
      <c r="Q76" s="0" t="s">
        <v>198</v>
      </c>
      <c r="S76" s="0" t="n">
        <v>4.041</v>
      </c>
    </row>
    <row r="77" customFormat="false" ht="14.25" hidden="false" customHeight="false" outlineLevel="0" collapsed="false">
      <c r="A77" s="0" t="s">
        <v>261</v>
      </c>
      <c r="B77" s="0" t="s">
        <v>257</v>
      </c>
      <c r="C77" s="0" t="s">
        <v>154</v>
      </c>
      <c r="D77" s="0" t="s">
        <v>131</v>
      </c>
      <c r="F77" s="0" t="s">
        <v>132</v>
      </c>
      <c r="G77" s="0" t="s">
        <v>133</v>
      </c>
      <c r="M77" s="0" t="n">
        <v>2016</v>
      </c>
      <c r="O77" s="0" t="n">
        <v>263</v>
      </c>
      <c r="Q77" s="0" t="s">
        <v>198</v>
      </c>
      <c r="S77" s="0" t="n">
        <v>4.438</v>
      </c>
    </row>
    <row r="78" customFormat="false" ht="14.25" hidden="false" customHeight="false" outlineLevel="0" collapsed="false">
      <c r="A78" s="0" t="s">
        <v>262</v>
      </c>
      <c r="B78" s="0" t="s">
        <v>257</v>
      </c>
      <c r="C78" s="0" t="s">
        <v>154</v>
      </c>
      <c r="D78" s="0" t="s">
        <v>131</v>
      </c>
      <c r="F78" s="0" t="s">
        <v>132</v>
      </c>
      <c r="G78" s="0" t="s">
        <v>263</v>
      </c>
      <c r="M78" s="0" t="n">
        <v>2016</v>
      </c>
      <c r="O78" s="0" t="n">
        <v>232</v>
      </c>
      <c r="Q78" s="0" t="s">
        <v>198</v>
      </c>
      <c r="S78" s="0" t="n">
        <v>2.995</v>
      </c>
    </row>
    <row r="79" customFormat="false" ht="14.25" hidden="false" customHeight="false" outlineLevel="0" collapsed="false">
      <c r="A79" s="0" t="s">
        <v>264</v>
      </c>
      <c r="B79" s="0" t="s">
        <v>257</v>
      </c>
      <c r="C79" s="0" t="s">
        <v>154</v>
      </c>
      <c r="D79" s="0" t="s">
        <v>131</v>
      </c>
      <c r="F79" s="0" t="s">
        <v>132</v>
      </c>
      <c r="G79" s="0" t="s">
        <v>214</v>
      </c>
      <c r="M79" s="0" t="n">
        <v>2016</v>
      </c>
      <c r="O79" s="0" t="n">
        <v>625</v>
      </c>
      <c r="Q79" s="0" t="s">
        <v>198</v>
      </c>
      <c r="S79" s="0" t="n">
        <v>3.289</v>
      </c>
    </row>
    <row r="80" customFormat="false" ht="14.25" hidden="false" customHeight="false" outlineLevel="0" collapsed="false">
      <c r="A80" s="0" t="s">
        <v>265</v>
      </c>
      <c r="B80" s="0" t="s">
        <v>257</v>
      </c>
      <c r="C80" s="0" t="s">
        <v>154</v>
      </c>
      <c r="D80" s="0" t="s">
        <v>131</v>
      </c>
      <c r="F80" s="0" t="s">
        <v>132</v>
      </c>
      <c r="G80" s="0" t="s">
        <v>259</v>
      </c>
      <c r="M80" s="0" t="n">
        <v>2016</v>
      </c>
      <c r="O80" s="0" t="n">
        <v>607</v>
      </c>
      <c r="Q80" s="0" t="s">
        <v>198</v>
      </c>
      <c r="S80" s="0" t="n">
        <v>2.94</v>
      </c>
    </row>
    <row r="81" customFormat="false" ht="14.25" hidden="false" customHeight="false" outlineLevel="0" collapsed="false">
      <c r="A81" s="0" t="s">
        <v>266</v>
      </c>
      <c r="B81" s="0" t="s">
        <v>257</v>
      </c>
      <c r="C81" s="0" t="s">
        <v>154</v>
      </c>
      <c r="D81" s="0" t="s">
        <v>131</v>
      </c>
      <c r="F81" s="0" t="s">
        <v>132</v>
      </c>
      <c r="G81" s="0" t="s">
        <v>138</v>
      </c>
      <c r="M81" s="0" t="n">
        <v>2016</v>
      </c>
      <c r="O81" s="0" t="n">
        <v>652</v>
      </c>
      <c r="Q81" s="0" t="s">
        <v>198</v>
      </c>
      <c r="S81" s="0" t="n">
        <v>3.08</v>
      </c>
    </row>
    <row r="82" customFormat="false" ht="14.25" hidden="false" customHeight="false" outlineLevel="0" collapsed="false">
      <c r="A82" s="0" t="s">
        <v>267</v>
      </c>
      <c r="B82" s="0" t="s">
        <v>257</v>
      </c>
      <c r="C82" s="0" t="s">
        <v>154</v>
      </c>
      <c r="D82" s="0" t="s">
        <v>131</v>
      </c>
      <c r="F82" s="0" t="s">
        <v>132</v>
      </c>
      <c r="G82" s="0" t="s">
        <v>133</v>
      </c>
      <c r="M82" s="0" t="n">
        <v>2016</v>
      </c>
      <c r="O82" s="0" t="n">
        <v>650</v>
      </c>
      <c r="Q82" s="0" t="s">
        <v>198</v>
      </c>
      <c r="S82" s="0" t="n">
        <v>3.769</v>
      </c>
    </row>
    <row r="83" customFormat="false" ht="14.25" hidden="false" customHeight="false" outlineLevel="0" collapsed="false">
      <c r="A83" s="0" t="s">
        <v>268</v>
      </c>
      <c r="B83" s="0" t="s">
        <v>257</v>
      </c>
      <c r="C83" s="0" t="s">
        <v>154</v>
      </c>
      <c r="D83" s="0" t="s">
        <v>131</v>
      </c>
      <c r="F83" s="0" t="s">
        <v>132</v>
      </c>
      <c r="G83" s="0" t="s">
        <v>263</v>
      </c>
      <c r="M83" s="0" t="n">
        <v>2016</v>
      </c>
      <c r="O83" s="0" t="n">
        <v>589</v>
      </c>
      <c r="Q83" s="0" t="s">
        <v>198</v>
      </c>
      <c r="S83" s="0" t="n">
        <v>3.135</v>
      </c>
    </row>
    <row r="84" customFormat="false" ht="14.25" hidden="false" customHeight="false" outlineLevel="0" collapsed="false">
      <c r="A84" s="0" t="s">
        <v>269</v>
      </c>
      <c r="B84" s="0" t="s">
        <v>257</v>
      </c>
      <c r="C84" s="0" t="s">
        <v>154</v>
      </c>
      <c r="D84" s="0" t="s">
        <v>131</v>
      </c>
      <c r="F84" s="0" t="s">
        <v>132</v>
      </c>
      <c r="G84" s="0" t="s">
        <v>214</v>
      </c>
      <c r="M84" s="0" t="n">
        <v>2016</v>
      </c>
      <c r="O84" s="0" t="n">
        <v>1000</v>
      </c>
      <c r="Q84" s="0" t="s">
        <v>198</v>
      </c>
      <c r="S84" s="0" t="n">
        <v>3.55</v>
      </c>
    </row>
    <row r="85" customFormat="false" ht="14.25" hidden="false" customHeight="false" outlineLevel="0" collapsed="false">
      <c r="A85" s="0" t="s">
        <v>270</v>
      </c>
      <c r="B85" s="0" t="s">
        <v>257</v>
      </c>
      <c r="C85" s="0" t="s">
        <v>154</v>
      </c>
      <c r="D85" s="0" t="s">
        <v>131</v>
      </c>
      <c r="F85" s="0" t="s">
        <v>132</v>
      </c>
      <c r="G85" s="0" t="s">
        <v>259</v>
      </c>
      <c r="M85" s="0" t="n">
        <v>2016</v>
      </c>
      <c r="O85" s="0" t="n">
        <v>1076</v>
      </c>
      <c r="Q85" s="0" t="s">
        <v>198</v>
      </c>
      <c r="S85" s="0" t="n">
        <v>4.351</v>
      </c>
    </row>
    <row r="86" customFormat="false" ht="14.25" hidden="false" customHeight="false" outlineLevel="0" collapsed="false">
      <c r="A86" s="0" t="s">
        <v>271</v>
      </c>
      <c r="B86" s="0" t="s">
        <v>257</v>
      </c>
      <c r="C86" s="0" t="s">
        <v>154</v>
      </c>
      <c r="D86" s="0" t="s">
        <v>131</v>
      </c>
      <c r="F86" s="0" t="s">
        <v>132</v>
      </c>
      <c r="G86" s="0" t="s">
        <v>138</v>
      </c>
      <c r="M86" s="0" t="n">
        <v>2016</v>
      </c>
      <c r="O86" s="0" t="n">
        <v>1029</v>
      </c>
      <c r="Q86" s="0" t="s">
        <v>218</v>
      </c>
    </row>
    <row r="87" customFormat="false" ht="14.25" hidden="false" customHeight="false" outlineLevel="0" collapsed="false">
      <c r="A87" s="0" t="s">
        <v>272</v>
      </c>
      <c r="B87" s="0" t="s">
        <v>257</v>
      </c>
      <c r="C87" s="0" t="s">
        <v>154</v>
      </c>
      <c r="D87" s="0" t="s">
        <v>131</v>
      </c>
      <c r="F87" s="0" t="s">
        <v>132</v>
      </c>
      <c r="G87" s="0" t="s">
        <v>133</v>
      </c>
      <c r="M87" s="0" t="n">
        <v>2016</v>
      </c>
      <c r="O87" s="0" t="n">
        <v>1043</v>
      </c>
      <c r="Q87" s="0" t="s">
        <v>198</v>
      </c>
      <c r="S87" s="0" t="n">
        <v>1.3242455</v>
      </c>
    </row>
    <row r="88" customFormat="false" ht="14.25" hidden="false" customHeight="false" outlineLevel="0" collapsed="false">
      <c r="A88" s="0" t="s">
        <v>273</v>
      </c>
      <c r="B88" s="0" t="s">
        <v>257</v>
      </c>
      <c r="C88" s="0" t="s">
        <v>154</v>
      </c>
      <c r="D88" s="0" t="s">
        <v>131</v>
      </c>
      <c r="F88" s="0" t="s">
        <v>132</v>
      </c>
      <c r="G88" s="0" t="s">
        <v>263</v>
      </c>
      <c r="M88" s="0" t="n">
        <v>2016</v>
      </c>
      <c r="O88" s="0" t="n">
        <v>975</v>
      </c>
      <c r="Q88" s="0" t="s">
        <v>218</v>
      </c>
      <c r="S88" s="0" t="n">
        <v>1.3961141</v>
      </c>
    </row>
    <row r="89" customFormat="false" ht="14.25" hidden="false" customHeight="false" outlineLevel="0" collapsed="false">
      <c r="A89" s="0" t="s">
        <v>274</v>
      </c>
      <c r="B89" s="0" t="s">
        <v>275</v>
      </c>
      <c r="C89" s="0" t="s">
        <v>115</v>
      </c>
      <c r="D89" s="0" t="s">
        <v>93</v>
      </c>
      <c r="F89" s="0" t="s">
        <v>132</v>
      </c>
      <c r="G89" s="0" t="s">
        <v>206</v>
      </c>
      <c r="M89" s="0" t="n">
        <v>2012</v>
      </c>
      <c r="O89" s="0" t="n">
        <v>5</v>
      </c>
      <c r="S89" s="0" t="n">
        <v>1.58936078</v>
      </c>
    </row>
    <row r="90" customFormat="false" ht="14.25" hidden="false" customHeight="false" outlineLevel="0" collapsed="false">
      <c r="A90" s="0" t="s">
        <v>276</v>
      </c>
      <c r="B90" s="0" t="s">
        <v>277</v>
      </c>
      <c r="C90" s="0" t="s">
        <v>115</v>
      </c>
      <c r="D90" s="0" t="s">
        <v>93</v>
      </c>
      <c r="F90" s="0" t="s">
        <v>132</v>
      </c>
      <c r="G90" s="0" t="s">
        <v>206</v>
      </c>
      <c r="M90" s="0" t="n">
        <v>2012</v>
      </c>
      <c r="O90" s="0" t="n">
        <v>5</v>
      </c>
      <c r="S90" s="0" t="n">
        <v>1.51882308</v>
      </c>
    </row>
    <row r="91" customFormat="false" ht="14.25" hidden="false" customHeight="false" outlineLevel="0" collapsed="false">
      <c r="A91" s="0" t="s">
        <v>278</v>
      </c>
      <c r="B91" s="0" t="s">
        <v>279</v>
      </c>
      <c r="C91" s="0" t="s">
        <v>115</v>
      </c>
      <c r="D91" s="0" t="s">
        <v>93</v>
      </c>
      <c r="F91" s="0" t="s">
        <v>132</v>
      </c>
      <c r="G91" s="0" t="s">
        <v>206</v>
      </c>
      <c r="M91" s="0" t="n">
        <v>2011</v>
      </c>
      <c r="O91" s="0" t="n">
        <v>5</v>
      </c>
      <c r="S91" s="0" t="n">
        <v>1.80895928</v>
      </c>
    </row>
    <row r="92" customFormat="false" ht="14.25" hidden="false" customHeight="false" outlineLevel="0" collapsed="false">
      <c r="A92" s="0" t="s">
        <v>280</v>
      </c>
      <c r="B92" s="0" t="s">
        <v>129</v>
      </c>
      <c r="C92" s="0" t="s">
        <v>130</v>
      </c>
      <c r="D92" s="0" t="s">
        <v>131</v>
      </c>
      <c r="F92" s="0" t="s">
        <v>281</v>
      </c>
      <c r="G92" s="0" t="s">
        <v>214</v>
      </c>
      <c r="O92" s="0" t="n">
        <v>407</v>
      </c>
      <c r="Q92" s="0" t="s">
        <v>198</v>
      </c>
    </row>
    <row r="93" customFormat="false" ht="14.25" hidden="false" customHeight="false" outlineLevel="0" collapsed="false">
      <c r="A93" s="0" t="s">
        <v>282</v>
      </c>
      <c r="B93" s="0" t="s">
        <v>129</v>
      </c>
      <c r="C93" s="0" t="s">
        <v>130</v>
      </c>
      <c r="D93" s="0" t="s">
        <v>131</v>
      </c>
      <c r="F93" s="0" t="s">
        <v>49</v>
      </c>
      <c r="G93" s="0" t="s">
        <v>244</v>
      </c>
      <c r="O93" s="0" t="n">
        <v>361</v>
      </c>
      <c r="Q93" s="0" t="s">
        <v>198</v>
      </c>
    </row>
    <row r="94" customFormat="false" ht="14.25" hidden="false" customHeight="false" outlineLevel="0" collapsed="false">
      <c r="A94" s="0" t="s">
        <v>283</v>
      </c>
      <c r="B94" s="0" t="s">
        <v>129</v>
      </c>
      <c r="C94" s="0" t="s">
        <v>130</v>
      </c>
      <c r="D94" s="0" t="s">
        <v>131</v>
      </c>
      <c r="F94" s="0" t="s">
        <v>284</v>
      </c>
      <c r="G94" s="0" t="s">
        <v>138</v>
      </c>
      <c r="O94" s="0" t="n">
        <v>371</v>
      </c>
      <c r="Q94" s="0" t="s">
        <v>198</v>
      </c>
    </row>
    <row r="95" customFormat="false" ht="14.25" hidden="false" customHeight="false" outlineLevel="0" collapsed="false">
      <c r="A95" s="0" t="s">
        <v>285</v>
      </c>
      <c r="B95" s="0" t="s">
        <v>129</v>
      </c>
      <c r="C95" s="0" t="s">
        <v>130</v>
      </c>
      <c r="D95" s="0" t="s">
        <v>131</v>
      </c>
      <c r="F95" s="0" t="s">
        <v>49</v>
      </c>
      <c r="G95" s="0" t="s">
        <v>247</v>
      </c>
      <c r="O95" s="0" t="n">
        <v>355</v>
      </c>
      <c r="Q95" s="0" t="s">
        <v>198</v>
      </c>
    </row>
    <row r="96" customFormat="false" ht="14.25" hidden="false" customHeight="false" outlineLevel="0" collapsed="false">
      <c r="A96" s="0" t="s">
        <v>286</v>
      </c>
      <c r="B96" s="0" t="s">
        <v>129</v>
      </c>
      <c r="C96" s="0" t="s">
        <v>130</v>
      </c>
      <c r="D96" s="0" t="s">
        <v>131</v>
      </c>
      <c r="F96" s="0" t="s">
        <v>49</v>
      </c>
      <c r="G96" s="0" t="s">
        <v>287</v>
      </c>
      <c r="O96" s="0" t="n">
        <v>373</v>
      </c>
      <c r="Q96" s="0" t="s">
        <v>198</v>
      </c>
    </row>
    <row r="97" customFormat="false" ht="14.25" hidden="false" customHeight="false" outlineLevel="0" collapsed="false">
      <c r="A97" s="0" t="s">
        <v>288</v>
      </c>
      <c r="B97" s="0" t="s">
        <v>129</v>
      </c>
      <c r="C97" s="0" t="s">
        <v>130</v>
      </c>
      <c r="D97" s="0" t="s">
        <v>131</v>
      </c>
      <c r="F97" s="0" t="s">
        <v>49</v>
      </c>
      <c r="G97" s="0" t="s">
        <v>289</v>
      </c>
      <c r="O97" s="0" t="n">
        <v>376</v>
      </c>
      <c r="Q97" s="0" t="s">
        <v>198</v>
      </c>
    </row>
    <row r="98" customFormat="false" ht="14.25" hidden="false" customHeight="false" outlineLevel="0" collapsed="false">
      <c r="A98" s="0" t="s">
        <v>290</v>
      </c>
      <c r="B98" s="0" t="s">
        <v>129</v>
      </c>
      <c r="C98" s="0" t="s">
        <v>130</v>
      </c>
      <c r="D98" s="0" t="s">
        <v>131</v>
      </c>
      <c r="F98" s="0" t="s">
        <v>49</v>
      </c>
      <c r="G98" s="0" t="s">
        <v>291</v>
      </c>
      <c r="O98" s="0" t="n">
        <v>364</v>
      </c>
      <c r="Q98" s="0" t="s">
        <v>198</v>
      </c>
    </row>
    <row r="99" customFormat="false" ht="14.25" hidden="false" customHeight="false" outlineLevel="0" collapsed="false">
      <c r="A99" s="0" t="s">
        <v>292</v>
      </c>
      <c r="B99" s="0" t="s">
        <v>293</v>
      </c>
      <c r="C99" s="0" t="s">
        <v>154</v>
      </c>
      <c r="D99" s="0" t="s">
        <v>131</v>
      </c>
      <c r="F99" s="0" t="s">
        <v>30</v>
      </c>
      <c r="G99" s="0" t="s">
        <v>294</v>
      </c>
      <c r="M99" s="0" t="n">
        <v>2020</v>
      </c>
      <c r="O99" s="0" t="n">
        <v>2100</v>
      </c>
      <c r="P99" s="0" t="n">
        <v>1584</v>
      </c>
      <c r="Q99" s="0" t="s">
        <v>295</v>
      </c>
    </row>
    <row r="100" customFormat="false" ht="14.25" hidden="false" customHeight="false" outlineLevel="0" collapsed="false">
      <c r="A100" s="0" t="s">
        <v>296</v>
      </c>
      <c r="B100" s="0" t="s">
        <v>293</v>
      </c>
      <c r="C100" s="0" t="s">
        <v>154</v>
      </c>
      <c r="D100" s="0" t="s">
        <v>131</v>
      </c>
      <c r="F100" s="0" t="s">
        <v>49</v>
      </c>
      <c r="G100" s="0" t="s">
        <v>214</v>
      </c>
      <c r="O100" s="0" t="n">
        <v>2321</v>
      </c>
      <c r="P100" s="0" t="n">
        <v>1600</v>
      </c>
      <c r="Q100" s="0" t="s">
        <v>297</v>
      </c>
    </row>
    <row r="101" customFormat="false" ht="14.25" hidden="false" customHeight="false" outlineLevel="0" collapsed="false">
      <c r="A101" s="0" t="s">
        <v>298</v>
      </c>
      <c r="B101" s="0" t="s">
        <v>293</v>
      </c>
      <c r="C101" s="0" t="s">
        <v>154</v>
      </c>
      <c r="D101" s="0" t="s">
        <v>131</v>
      </c>
      <c r="F101" s="0" t="s">
        <v>49</v>
      </c>
      <c r="G101" s="0" t="s">
        <v>244</v>
      </c>
      <c r="O101" s="0" t="n">
        <v>2148</v>
      </c>
      <c r="P101" s="0" t="n">
        <v>1677</v>
      </c>
      <c r="Q101" s="0" t="s">
        <v>134</v>
      </c>
    </row>
    <row r="102" customFormat="false" ht="14.25" hidden="false" customHeight="false" outlineLevel="0" collapsed="false">
      <c r="A102" s="0" t="s">
        <v>299</v>
      </c>
      <c r="B102" s="0" t="s">
        <v>293</v>
      </c>
      <c r="C102" s="0" t="s">
        <v>154</v>
      </c>
      <c r="D102" s="0" t="s">
        <v>131</v>
      </c>
      <c r="F102" s="0" t="s">
        <v>300</v>
      </c>
      <c r="G102" s="0" t="s">
        <v>138</v>
      </c>
      <c r="O102" s="0" t="n">
        <v>1810</v>
      </c>
      <c r="P102" s="0" t="n">
        <v>1613</v>
      </c>
      <c r="Q102" s="0" t="s">
        <v>134</v>
      </c>
      <c r="S102" s="0" t="n">
        <v>1.380377424</v>
      </c>
    </row>
    <row r="103" customFormat="false" ht="14.25" hidden="false" customHeight="false" outlineLevel="0" collapsed="false">
      <c r="A103" s="0" t="s">
        <v>301</v>
      </c>
      <c r="B103" s="0" t="s">
        <v>293</v>
      </c>
      <c r="C103" s="0" t="s">
        <v>154</v>
      </c>
      <c r="D103" s="0" t="s">
        <v>131</v>
      </c>
      <c r="F103" s="0" t="s">
        <v>300</v>
      </c>
      <c r="G103" s="0" t="s">
        <v>302</v>
      </c>
      <c r="O103" s="0" t="n">
        <v>2100</v>
      </c>
      <c r="P103" s="0" t="n">
        <v>1500</v>
      </c>
      <c r="Q103" s="0" t="s">
        <v>134</v>
      </c>
      <c r="S103" s="0" t="n">
        <v>1.656103667</v>
      </c>
    </row>
    <row r="104" customFormat="false" ht="14.25" hidden="false" customHeight="false" outlineLevel="0" collapsed="false">
      <c r="A104" s="0" t="s">
        <v>303</v>
      </c>
      <c r="B104" s="0" t="s">
        <v>304</v>
      </c>
      <c r="C104" s="0" t="s">
        <v>305</v>
      </c>
      <c r="D104" s="0" t="s">
        <v>123</v>
      </c>
      <c r="F104" s="0" t="s">
        <v>300</v>
      </c>
      <c r="G104" s="0" t="s">
        <v>306</v>
      </c>
      <c r="O104" s="0" t="n">
        <v>249.061</v>
      </c>
      <c r="P104" s="0" t="n">
        <v>223.44</v>
      </c>
      <c r="S104" s="0" t="n">
        <v>1.7</v>
      </c>
    </row>
    <row r="105" customFormat="false" ht="14.25" hidden="false" customHeight="false" outlineLevel="0" collapsed="false">
      <c r="A105" s="0" t="s">
        <v>307</v>
      </c>
      <c r="B105" s="0" t="s">
        <v>308</v>
      </c>
      <c r="C105" s="0" t="s">
        <v>92</v>
      </c>
      <c r="D105" s="0" t="s">
        <v>76</v>
      </c>
      <c r="F105" s="0" t="s">
        <v>300</v>
      </c>
      <c r="G105" s="0" t="s">
        <v>201</v>
      </c>
      <c r="O105" s="0" t="n">
        <v>40</v>
      </c>
      <c r="Q105" s="0" t="s">
        <v>145</v>
      </c>
      <c r="S105" s="0" t="n">
        <v>1.78</v>
      </c>
    </row>
    <row r="106" customFormat="false" ht="14.25" hidden="false" customHeight="false" outlineLevel="0" collapsed="false">
      <c r="A106" s="0" t="s">
        <v>309</v>
      </c>
      <c r="B106" s="0" t="s">
        <v>310</v>
      </c>
      <c r="C106" s="0" t="s">
        <v>24</v>
      </c>
      <c r="D106" s="0" t="s">
        <v>108</v>
      </c>
      <c r="F106" s="0" t="s">
        <v>311</v>
      </c>
      <c r="G106" s="0" t="s">
        <v>201</v>
      </c>
      <c r="O106" s="0" t="n">
        <v>43.325</v>
      </c>
    </row>
    <row r="107" customFormat="false" ht="14.25" hidden="false" customHeight="false" outlineLevel="0" collapsed="false">
      <c r="A107" s="0" t="s">
        <v>312</v>
      </c>
      <c r="B107" s="0" t="s">
        <v>313</v>
      </c>
      <c r="C107" s="0" t="s">
        <v>107</v>
      </c>
      <c r="D107" s="0" t="s">
        <v>314</v>
      </c>
      <c r="F107" s="0" t="s">
        <v>311</v>
      </c>
      <c r="G107" s="0" t="s">
        <v>201</v>
      </c>
      <c r="O107" s="0" t="n">
        <v>100</v>
      </c>
      <c r="Q107" s="0" t="s">
        <v>315</v>
      </c>
    </row>
    <row r="108" customFormat="false" ht="14.25" hidden="false" customHeight="false" outlineLevel="0" collapsed="false">
      <c r="A108" s="0" t="s">
        <v>316</v>
      </c>
      <c r="B108" s="0" t="s">
        <v>317</v>
      </c>
      <c r="C108" s="0" t="s">
        <v>92</v>
      </c>
      <c r="D108" s="0" t="s">
        <v>76</v>
      </c>
      <c r="F108" s="0" t="s">
        <v>137</v>
      </c>
      <c r="O108" s="0" t="n">
        <v>27.4</v>
      </c>
      <c r="P108" s="0" t="n">
        <v>20.85105</v>
      </c>
    </row>
    <row r="109" customFormat="false" ht="14.25" hidden="false" customHeight="false" outlineLevel="0" collapsed="false">
      <c r="A109" s="0" t="s">
        <v>318</v>
      </c>
      <c r="B109" s="0" t="s">
        <v>319</v>
      </c>
      <c r="C109" s="0" t="s">
        <v>320</v>
      </c>
      <c r="D109" s="0" t="s">
        <v>131</v>
      </c>
      <c r="F109" s="0" t="s">
        <v>137</v>
      </c>
      <c r="G109" s="0" t="s">
        <v>133</v>
      </c>
      <c r="O109" s="0" t="n">
        <v>753.03</v>
      </c>
      <c r="P109" s="0" t="n">
        <v>580</v>
      </c>
      <c r="Q109" s="0" t="s">
        <v>321</v>
      </c>
    </row>
    <row r="110" customFormat="false" ht="14.25" hidden="false" customHeight="false" outlineLevel="0" collapsed="false">
      <c r="A110" s="0" t="s">
        <v>322</v>
      </c>
      <c r="B110" s="0" t="s">
        <v>323</v>
      </c>
      <c r="C110" s="0" t="s">
        <v>320</v>
      </c>
      <c r="D110" s="0" t="s">
        <v>131</v>
      </c>
      <c r="F110" s="0" t="s">
        <v>137</v>
      </c>
      <c r="G110" s="0" t="s">
        <v>133</v>
      </c>
      <c r="O110" s="0" t="n">
        <v>388</v>
      </c>
      <c r="P110" s="0" t="n">
        <v>285</v>
      </c>
      <c r="Q110" s="0" t="s">
        <v>321</v>
      </c>
    </row>
    <row r="111" customFormat="false" ht="14.25" hidden="false" customHeight="false" outlineLevel="0" collapsed="false">
      <c r="A111" s="0" t="s">
        <v>324</v>
      </c>
      <c r="B111" s="0" t="s">
        <v>325</v>
      </c>
      <c r="C111" s="0" t="s">
        <v>320</v>
      </c>
      <c r="D111" s="0" t="s">
        <v>131</v>
      </c>
      <c r="F111" s="0" t="s">
        <v>326</v>
      </c>
      <c r="G111" s="0" t="s">
        <v>244</v>
      </c>
      <c r="O111" s="0" t="n">
        <v>399</v>
      </c>
      <c r="P111" s="0" t="n">
        <v>300</v>
      </c>
      <c r="Q111" s="0" t="s">
        <v>321</v>
      </c>
    </row>
    <row r="112" customFormat="false" ht="14.25" hidden="false" customHeight="false" outlineLevel="0" collapsed="false">
      <c r="A112" s="0" t="s">
        <v>327</v>
      </c>
      <c r="B112" s="0" t="s">
        <v>328</v>
      </c>
      <c r="C112" s="0" t="s">
        <v>320</v>
      </c>
      <c r="D112" s="0" t="s">
        <v>131</v>
      </c>
      <c r="F112" s="0" t="s">
        <v>326</v>
      </c>
      <c r="G112" s="0" t="s">
        <v>214</v>
      </c>
      <c r="O112" s="0" t="n">
        <v>220</v>
      </c>
      <c r="P112" s="0" t="n">
        <v>193</v>
      </c>
      <c r="Q112" s="0" t="s">
        <v>321</v>
      </c>
    </row>
    <row r="113" customFormat="false" ht="14.25" hidden="false" customHeight="false" outlineLevel="0" collapsed="false">
      <c r="A113" s="0" t="s">
        <v>329</v>
      </c>
      <c r="B113" s="0" t="s">
        <v>330</v>
      </c>
      <c r="C113" s="0" t="s">
        <v>331</v>
      </c>
      <c r="D113" s="0" t="s">
        <v>184</v>
      </c>
      <c r="F113" s="0" t="s">
        <v>332</v>
      </c>
      <c r="G113" s="0" t="s">
        <v>333</v>
      </c>
      <c r="O113" s="0" t="n">
        <v>25</v>
      </c>
    </row>
    <row r="114" customFormat="false" ht="14.25" hidden="false" customHeight="false" outlineLevel="0" collapsed="false">
      <c r="A114" s="0" t="s">
        <v>334</v>
      </c>
      <c r="B114" s="0" t="s">
        <v>335</v>
      </c>
      <c r="C114" s="0" t="s">
        <v>331</v>
      </c>
      <c r="D114" s="0" t="s">
        <v>184</v>
      </c>
      <c r="F114" s="0" t="s">
        <v>332</v>
      </c>
      <c r="G114" s="0" t="s">
        <v>333</v>
      </c>
      <c r="O114" s="0" t="n">
        <v>15</v>
      </c>
    </row>
    <row r="115" customFormat="false" ht="14.25" hidden="false" customHeight="false" outlineLevel="0" collapsed="false">
      <c r="A115" s="0" t="s">
        <v>336</v>
      </c>
      <c r="B115" s="0" t="s">
        <v>337</v>
      </c>
      <c r="C115" s="0" t="s">
        <v>331</v>
      </c>
      <c r="D115" s="0" t="s">
        <v>184</v>
      </c>
      <c r="F115" s="0" t="s">
        <v>338</v>
      </c>
      <c r="G115" s="0" t="s">
        <v>333</v>
      </c>
      <c r="O115" s="0" t="n">
        <v>75</v>
      </c>
    </row>
    <row r="116" customFormat="false" ht="14.25" hidden="false" customHeight="false" outlineLevel="0" collapsed="false">
      <c r="A116" s="0" t="s">
        <v>339</v>
      </c>
      <c r="B116" s="0" t="s">
        <v>340</v>
      </c>
      <c r="C116" s="0" t="s">
        <v>107</v>
      </c>
      <c r="D116" s="0" t="s">
        <v>108</v>
      </c>
      <c r="F116" s="0" t="s">
        <v>338</v>
      </c>
      <c r="G116" s="0" t="s">
        <v>341</v>
      </c>
      <c r="O116" s="0" t="n">
        <v>50</v>
      </c>
      <c r="P116" s="0" t="n">
        <v>39.4</v>
      </c>
      <c r="Q116" s="0" t="s">
        <v>321</v>
      </c>
    </row>
    <row r="117" customFormat="false" ht="14.25" hidden="false" customHeight="false" outlineLevel="0" collapsed="false">
      <c r="A117" s="0" t="s">
        <v>342</v>
      </c>
      <c r="B117" s="0" t="s">
        <v>343</v>
      </c>
      <c r="C117" s="0" t="s">
        <v>107</v>
      </c>
      <c r="D117" s="0" t="s">
        <v>108</v>
      </c>
      <c r="F117" s="0" t="s">
        <v>338</v>
      </c>
      <c r="G117" s="0" t="s">
        <v>344</v>
      </c>
      <c r="O117" s="0" t="n">
        <v>41.6</v>
      </c>
      <c r="P117" s="0" t="n">
        <v>33.4</v>
      </c>
      <c r="Q117" s="0" t="s">
        <v>321</v>
      </c>
    </row>
    <row r="118" customFormat="false" ht="14.25" hidden="false" customHeight="false" outlineLevel="0" collapsed="false">
      <c r="A118" s="0" t="s">
        <v>345</v>
      </c>
      <c r="B118" s="0" t="s">
        <v>346</v>
      </c>
      <c r="C118" s="0" t="s">
        <v>107</v>
      </c>
      <c r="D118" s="0" t="s">
        <v>108</v>
      </c>
      <c r="F118" s="0" t="s">
        <v>338</v>
      </c>
      <c r="G118" s="0" t="s">
        <v>347</v>
      </c>
      <c r="O118" s="0" t="n">
        <v>8.8</v>
      </c>
      <c r="P118" s="0" t="n">
        <v>8</v>
      </c>
    </row>
    <row r="119" customFormat="false" ht="14.25" hidden="false" customHeight="false" outlineLevel="0" collapsed="false">
      <c r="A119" s="0" t="s">
        <v>348</v>
      </c>
      <c r="B119" s="0" t="s">
        <v>349</v>
      </c>
      <c r="C119" s="0" t="s">
        <v>107</v>
      </c>
      <c r="D119" s="0" t="s">
        <v>108</v>
      </c>
      <c r="F119" s="0" t="s">
        <v>338</v>
      </c>
      <c r="G119" s="0" t="s">
        <v>349</v>
      </c>
      <c r="O119" s="0" t="n">
        <v>2.4</v>
      </c>
      <c r="P119" s="0" t="n">
        <v>2.2</v>
      </c>
    </row>
    <row r="120" customFormat="false" ht="14.25" hidden="false" customHeight="false" outlineLevel="0" collapsed="false">
      <c r="A120" s="0" t="s">
        <v>350</v>
      </c>
      <c r="B120" s="0" t="s">
        <v>351</v>
      </c>
      <c r="C120" s="0" t="s">
        <v>107</v>
      </c>
      <c r="D120" s="0" t="s">
        <v>108</v>
      </c>
      <c r="F120" s="0" t="s">
        <v>338</v>
      </c>
      <c r="G120" s="0" t="s">
        <v>352</v>
      </c>
      <c r="O120" s="0" t="n">
        <v>73.9</v>
      </c>
      <c r="P120" s="0" t="n">
        <v>60.1</v>
      </c>
      <c r="Q120" s="0" t="s">
        <v>321</v>
      </c>
    </row>
    <row r="121" customFormat="false" ht="14.25" hidden="false" customHeight="false" outlineLevel="0" collapsed="false">
      <c r="A121" s="0" t="s">
        <v>353</v>
      </c>
      <c r="B121" s="0" t="s">
        <v>354</v>
      </c>
      <c r="C121" s="0" t="s">
        <v>107</v>
      </c>
      <c r="D121" s="0" t="s">
        <v>108</v>
      </c>
      <c r="F121" s="0" t="s">
        <v>338</v>
      </c>
      <c r="G121" s="0" t="s">
        <v>355</v>
      </c>
      <c r="O121" s="0" t="n">
        <v>9.6</v>
      </c>
      <c r="P121" s="0" t="n">
        <v>8</v>
      </c>
      <c r="Q121" s="0" t="s">
        <v>321</v>
      </c>
    </row>
    <row r="122" customFormat="false" ht="14.25" hidden="false" customHeight="false" outlineLevel="0" collapsed="false">
      <c r="A122" s="0" t="s">
        <v>356</v>
      </c>
      <c r="B122" s="0" t="s">
        <v>357</v>
      </c>
      <c r="C122" s="0" t="s">
        <v>107</v>
      </c>
      <c r="D122" s="0" t="s">
        <v>108</v>
      </c>
      <c r="F122" s="0" t="s">
        <v>338</v>
      </c>
      <c r="G122" s="0" t="s">
        <v>358</v>
      </c>
      <c r="O122" s="0" t="n">
        <v>9.6</v>
      </c>
      <c r="P122" s="0" t="n">
        <v>8</v>
      </c>
      <c r="Q122" s="0" t="s">
        <v>321</v>
      </c>
    </row>
    <row r="123" customFormat="false" ht="14.25" hidden="false" customHeight="false" outlineLevel="0" collapsed="false">
      <c r="A123" s="0" t="s">
        <v>359</v>
      </c>
      <c r="B123" s="0" t="s">
        <v>360</v>
      </c>
      <c r="C123" s="0" t="s">
        <v>107</v>
      </c>
      <c r="D123" s="0" t="s">
        <v>108</v>
      </c>
      <c r="F123" s="0" t="s">
        <v>338</v>
      </c>
      <c r="G123" s="0" t="s">
        <v>361</v>
      </c>
      <c r="O123" s="0" t="n">
        <v>36</v>
      </c>
      <c r="P123" s="0" t="n">
        <v>30</v>
      </c>
      <c r="Q123" s="0" t="s">
        <v>321</v>
      </c>
    </row>
    <row r="124" customFormat="false" ht="14.25" hidden="false" customHeight="false" outlineLevel="0" collapsed="false">
      <c r="A124" s="0" t="s">
        <v>362</v>
      </c>
      <c r="B124" s="0" t="s">
        <v>363</v>
      </c>
      <c r="C124" s="0" t="s">
        <v>107</v>
      </c>
      <c r="D124" s="0" t="s">
        <v>108</v>
      </c>
      <c r="F124" s="0" t="s">
        <v>338</v>
      </c>
      <c r="G124" s="0" t="s">
        <v>364</v>
      </c>
      <c r="O124" s="0" t="n">
        <v>123</v>
      </c>
      <c r="P124" s="0" t="n">
        <v>102</v>
      </c>
      <c r="Q124" s="0" t="s">
        <v>321</v>
      </c>
    </row>
    <row r="125" customFormat="false" ht="14.25" hidden="false" customHeight="false" outlineLevel="0" collapsed="false">
      <c r="A125" s="0" t="s">
        <v>365</v>
      </c>
      <c r="B125" s="0" t="s">
        <v>366</v>
      </c>
      <c r="C125" s="0" t="s">
        <v>107</v>
      </c>
      <c r="D125" s="0" t="s">
        <v>108</v>
      </c>
      <c r="F125" s="0" t="s">
        <v>338</v>
      </c>
      <c r="G125" s="0" t="s">
        <v>367</v>
      </c>
      <c r="O125" s="0" t="n">
        <v>36</v>
      </c>
      <c r="P125" s="0" t="n">
        <v>30</v>
      </c>
      <c r="Q125" s="0" t="s">
        <v>321</v>
      </c>
    </row>
    <row r="126" customFormat="false" ht="14.25" hidden="false" customHeight="false" outlineLevel="0" collapsed="false">
      <c r="A126" s="0" t="s">
        <v>368</v>
      </c>
      <c r="B126" s="0" t="s">
        <v>369</v>
      </c>
      <c r="C126" s="0" t="s">
        <v>107</v>
      </c>
      <c r="D126" s="0" t="s">
        <v>108</v>
      </c>
      <c r="F126" s="0" t="s">
        <v>338</v>
      </c>
      <c r="G126" s="0" t="s">
        <v>370</v>
      </c>
      <c r="O126" s="0" t="n">
        <v>150</v>
      </c>
      <c r="P126" s="0" t="n">
        <v>126</v>
      </c>
      <c r="Q126" s="0" t="s">
        <v>321</v>
      </c>
    </row>
    <row r="127" customFormat="false" ht="14.25" hidden="false" customHeight="false" outlineLevel="0" collapsed="false">
      <c r="A127" s="0" t="s">
        <v>371</v>
      </c>
      <c r="B127" s="0" t="s">
        <v>372</v>
      </c>
      <c r="C127" s="0" t="s">
        <v>107</v>
      </c>
      <c r="D127" s="0" t="s">
        <v>108</v>
      </c>
      <c r="F127" s="0" t="s">
        <v>338</v>
      </c>
      <c r="G127" s="0" t="s">
        <v>373</v>
      </c>
      <c r="O127" s="0" t="n">
        <v>34.5</v>
      </c>
      <c r="P127" s="0" t="n">
        <v>30</v>
      </c>
      <c r="Q127" s="0" t="s">
        <v>321</v>
      </c>
    </row>
    <row r="128" customFormat="false" ht="14.25" hidden="false" customHeight="false" outlineLevel="0" collapsed="false">
      <c r="A128" s="0" t="s">
        <v>374</v>
      </c>
      <c r="B128" s="0" t="s">
        <v>375</v>
      </c>
      <c r="C128" s="0" t="s">
        <v>107</v>
      </c>
      <c r="D128" s="0" t="s">
        <v>108</v>
      </c>
      <c r="F128" s="0" t="s">
        <v>338</v>
      </c>
      <c r="G128" s="0" t="s">
        <v>376</v>
      </c>
      <c r="O128" s="0" t="n">
        <v>87.9</v>
      </c>
      <c r="P128" s="0" t="n">
        <v>73.3</v>
      </c>
      <c r="Q128" s="0" t="s">
        <v>321</v>
      </c>
    </row>
    <row r="129" customFormat="false" ht="14.25" hidden="false" customHeight="false" outlineLevel="0" collapsed="false">
      <c r="A129" s="0" t="s">
        <v>377</v>
      </c>
      <c r="B129" s="0" t="s">
        <v>378</v>
      </c>
      <c r="C129" s="0" t="s">
        <v>107</v>
      </c>
      <c r="D129" s="0" t="s">
        <v>108</v>
      </c>
      <c r="F129" s="0" t="s">
        <v>338</v>
      </c>
      <c r="G129" s="0" t="s">
        <v>379</v>
      </c>
      <c r="O129" s="0" t="n">
        <v>22</v>
      </c>
      <c r="P129" s="0" t="n">
        <v>17.4</v>
      </c>
      <c r="Q129" s="0" t="s">
        <v>321</v>
      </c>
    </row>
    <row r="130" customFormat="false" ht="14.25" hidden="false" customHeight="false" outlineLevel="0" collapsed="false">
      <c r="A130" s="0" t="s">
        <v>380</v>
      </c>
      <c r="B130" s="0" t="s">
        <v>381</v>
      </c>
      <c r="C130" s="0" t="s">
        <v>107</v>
      </c>
      <c r="D130" s="0" t="s">
        <v>108</v>
      </c>
      <c r="F130" s="0" t="s">
        <v>338</v>
      </c>
      <c r="G130" s="0" t="s">
        <v>382</v>
      </c>
      <c r="O130" s="0" t="n">
        <v>51</v>
      </c>
      <c r="P130" s="0" t="n">
        <v>40</v>
      </c>
      <c r="Q130" s="0" t="s">
        <v>321</v>
      </c>
    </row>
    <row r="131" customFormat="false" ht="14.25" hidden="false" customHeight="false" outlineLevel="0" collapsed="false">
      <c r="A131" s="0" t="s">
        <v>383</v>
      </c>
      <c r="B131" s="0" t="s">
        <v>384</v>
      </c>
      <c r="C131" s="0" t="s">
        <v>107</v>
      </c>
      <c r="D131" s="0" t="s">
        <v>108</v>
      </c>
      <c r="F131" s="0" t="s">
        <v>137</v>
      </c>
      <c r="G131" s="0" t="s">
        <v>385</v>
      </c>
      <c r="O131" s="0" t="n">
        <v>65.2</v>
      </c>
      <c r="P131" s="0" t="n">
        <v>54.4</v>
      </c>
      <c r="Q131" s="0" t="s">
        <v>321</v>
      </c>
    </row>
    <row r="132" customFormat="false" ht="14.25" hidden="false" customHeight="false" outlineLevel="0" collapsed="false">
      <c r="A132" s="0" t="s">
        <v>386</v>
      </c>
      <c r="B132" s="0" t="s">
        <v>387</v>
      </c>
      <c r="C132" s="0" t="s">
        <v>107</v>
      </c>
      <c r="D132" s="0" t="s">
        <v>108</v>
      </c>
      <c r="F132" s="0" t="s">
        <v>137</v>
      </c>
      <c r="G132" s="0" t="s">
        <v>388</v>
      </c>
      <c r="O132" s="0" t="n">
        <v>88.8</v>
      </c>
      <c r="P132" s="0" t="n">
        <v>74</v>
      </c>
      <c r="Q132" s="0" t="s">
        <v>321</v>
      </c>
    </row>
    <row r="133" customFormat="false" ht="14.25" hidden="false" customHeight="false" outlineLevel="0" collapsed="false">
      <c r="A133" s="0" t="s">
        <v>389</v>
      </c>
      <c r="B133" s="0" t="s">
        <v>390</v>
      </c>
      <c r="C133" s="0" t="s">
        <v>107</v>
      </c>
      <c r="D133" s="0" t="s">
        <v>108</v>
      </c>
      <c r="F133" s="0" t="s">
        <v>137</v>
      </c>
      <c r="G133" s="0" t="s">
        <v>391</v>
      </c>
      <c r="O133" s="0" t="n">
        <v>178.8</v>
      </c>
      <c r="P133" s="0" t="n">
        <v>149</v>
      </c>
      <c r="Q133" s="0" t="s">
        <v>321</v>
      </c>
    </row>
    <row r="134" customFormat="false" ht="14.25" hidden="false" customHeight="false" outlineLevel="0" collapsed="false">
      <c r="A134" s="0" t="s">
        <v>392</v>
      </c>
      <c r="B134" s="0" t="s">
        <v>393</v>
      </c>
      <c r="C134" s="0" t="s">
        <v>107</v>
      </c>
      <c r="D134" s="0" t="s">
        <v>108</v>
      </c>
      <c r="F134" s="0" t="s">
        <v>137</v>
      </c>
      <c r="G134" s="0" t="s">
        <v>385</v>
      </c>
      <c r="O134" s="0" t="n">
        <v>116.4</v>
      </c>
      <c r="P134" s="0" t="n">
        <v>96.6</v>
      </c>
      <c r="Q134" s="0" t="s">
        <v>321</v>
      </c>
    </row>
    <row r="135" customFormat="false" ht="14.25" hidden="false" customHeight="false" outlineLevel="0" collapsed="false">
      <c r="A135" s="0" t="s">
        <v>394</v>
      </c>
      <c r="B135" s="0" t="s">
        <v>395</v>
      </c>
      <c r="C135" s="0" t="s">
        <v>107</v>
      </c>
      <c r="D135" s="0" t="s">
        <v>108</v>
      </c>
      <c r="F135" s="0" t="s">
        <v>137</v>
      </c>
      <c r="G135" s="0" t="s">
        <v>396</v>
      </c>
      <c r="O135" s="0" t="n">
        <v>99.8</v>
      </c>
      <c r="P135" s="0" t="n">
        <v>99.8</v>
      </c>
      <c r="Q135" s="0" t="s">
        <v>321</v>
      </c>
    </row>
    <row r="136" customFormat="false" ht="14.25" hidden="false" customHeight="false" outlineLevel="0" collapsed="false">
      <c r="A136" s="0" t="s">
        <v>397</v>
      </c>
      <c r="B136" s="0" t="s">
        <v>398</v>
      </c>
      <c r="C136" s="0" t="s">
        <v>223</v>
      </c>
      <c r="D136" s="0" t="s">
        <v>399</v>
      </c>
      <c r="F136" s="0" t="s">
        <v>137</v>
      </c>
      <c r="O136" s="0" t="n">
        <v>116</v>
      </c>
      <c r="P136" s="0" t="n">
        <v>116</v>
      </c>
    </row>
    <row r="137" customFormat="false" ht="14.25" hidden="false" customHeight="false" outlineLevel="0" collapsed="false">
      <c r="A137" s="0" t="s">
        <v>400</v>
      </c>
      <c r="B137" s="0" t="s">
        <v>401</v>
      </c>
      <c r="C137" s="0" t="s">
        <v>402</v>
      </c>
      <c r="D137" s="0" t="s">
        <v>403</v>
      </c>
      <c r="F137" s="0" t="s">
        <v>137</v>
      </c>
      <c r="O137" s="0" t="n">
        <v>135</v>
      </c>
      <c r="Q137" s="0" t="s">
        <v>404</v>
      </c>
      <c r="S137" s="0" t="n">
        <v>2.34</v>
      </c>
    </row>
    <row r="138" customFormat="false" ht="14.25" hidden="false" customHeight="false" outlineLevel="0" collapsed="false">
      <c r="A138" s="0" t="s">
        <v>405</v>
      </c>
      <c r="B138" s="0" t="s">
        <v>401</v>
      </c>
      <c r="C138" s="0" t="s">
        <v>402</v>
      </c>
      <c r="D138" s="0" t="s">
        <v>403</v>
      </c>
      <c r="F138" s="0" t="s">
        <v>137</v>
      </c>
      <c r="O138" s="0" t="n">
        <v>135</v>
      </c>
      <c r="Q138" s="0" t="s">
        <v>406</v>
      </c>
      <c r="S138" s="0" t="n">
        <v>1.62</v>
      </c>
    </row>
    <row r="139" customFormat="false" ht="14.25" hidden="false" customHeight="false" outlineLevel="0" collapsed="false">
      <c r="A139" s="0" t="s">
        <v>407</v>
      </c>
      <c r="B139" s="0" t="s">
        <v>408</v>
      </c>
      <c r="C139" s="0" t="s">
        <v>320</v>
      </c>
      <c r="D139" s="0" t="s">
        <v>131</v>
      </c>
      <c r="F139" s="0" t="s">
        <v>137</v>
      </c>
      <c r="G139" s="0" t="s">
        <v>409</v>
      </c>
      <c r="O139" s="0" t="n">
        <v>324</v>
      </c>
      <c r="P139" s="0" t="n">
        <v>300</v>
      </c>
    </row>
    <row r="140" customFormat="false" ht="46.25" hidden="false" customHeight="false" outlineLevel="0" collapsed="false">
      <c r="A140" s="0" t="s">
        <v>410</v>
      </c>
      <c r="B140" s="0" t="s">
        <v>411</v>
      </c>
      <c r="C140" s="0" t="s">
        <v>320</v>
      </c>
      <c r="D140" s="0" t="s">
        <v>131</v>
      </c>
      <c r="F140" s="0" t="s">
        <v>137</v>
      </c>
      <c r="G140" s="2" t="s">
        <v>412</v>
      </c>
      <c r="O140" s="0" t="n">
        <v>306.18</v>
      </c>
      <c r="P140" s="0" t="n">
        <v>300</v>
      </c>
    </row>
    <row r="141" customFormat="false" ht="31.3" hidden="false" customHeight="false" outlineLevel="0" collapsed="false">
      <c r="A141" s="0" t="s">
        <v>413</v>
      </c>
      <c r="B141" s="0" t="s">
        <v>414</v>
      </c>
      <c r="C141" s="0" t="s">
        <v>320</v>
      </c>
      <c r="D141" s="0" t="s">
        <v>131</v>
      </c>
      <c r="F141" s="0" t="s">
        <v>137</v>
      </c>
      <c r="G141" s="2" t="s">
        <v>415</v>
      </c>
      <c r="O141" s="0" t="n">
        <v>300</v>
      </c>
      <c r="P141" s="0" t="n">
        <v>300</v>
      </c>
    </row>
    <row r="142" customFormat="false" ht="14.25" hidden="false" customHeight="false" outlineLevel="0" collapsed="false">
      <c r="A142" s="0" t="s">
        <v>416</v>
      </c>
      <c r="B142" s="0" t="s">
        <v>417</v>
      </c>
      <c r="C142" s="0" t="s">
        <v>55</v>
      </c>
      <c r="D142" s="0" t="s">
        <v>56</v>
      </c>
      <c r="F142" s="0" t="s">
        <v>216</v>
      </c>
      <c r="G142" s="0" t="s">
        <v>138</v>
      </c>
      <c r="M142" s="0" t="s">
        <v>216</v>
      </c>
      <c r="O142" s="0" t="n">
        <v>196</v>
      </c>
      <c r="P142" s="0" t="s">
        <v>216</v>
      </c>
      <c r="Q142" s="0" t="s">
        <v>216</v>
      </c>
      <c r="S142" s="0" t="s">
        <v>216</v>
      </c>
    </row>
    <row r="143" customFormat="false" ht="14.25" hidden="false" customHeight="false" outlineLevel="0" collapsed="false">
      <c r="A143" s="0" t="s">
        <v>418</v>
      </c>
      <c r="B143" s="0" t="s">
        <v>419</v>
      </c>
      <c r="C143" s="0" t="s">
        <v>55</v>
      </c>
      <c r="D143" s="0" t="s">
        <v>56</v>
      </c>
      <c r="F143" s="0" t="s">
        <v>216</v>
      </c>
      <c r="G143" s="0" t="s">
        <v>420</v>
      </c>
      <c r="M143" s="0" t="s">
        <v>216</v>
      </c>
      <c r="O143" s="0" t="n">
        <v>22.638</v>
      </c>
      <c r="P143" s="0" t="s">
        <v>216</v>
      </c>
      <c r="Q143" s="0" t="s">
        <v>216</v>
      </c>
      <c r="S143" s="0" t="s">
        <v>216</v>
      </c>
    </row>
    <row r="144" customFormat="false" ht="14.25" hidden="false" customHeight="false" outlineLevel="0" collapsed="false">
      <c r="A144" s="0" t="s">
        <v>421</v>
      </c>
      <c r="B144" s="0" t="s">
        <v>422</v>
      </c>
      <c r="C144" s="0" t="s">
        <v>55</v>
      </c>
      <c r="D144" s="0" t="s">
        <v>56</v>
      </c>
      <c r="F144" s="0" t="s">
        <v>216</v>
      </c>
      <c r="G144" s="0" t="s">
        <v>138</v>
      </c>
      <c r="M144" s="0" t="s">
        <v>216</v>
      </c>
      <c r="O144" s="0" t="n">
        <v>47.524</v>
      </c>
      <c r="P144" s="0" t="s">
        <v>216</v>
      </c>
      <c r="Q144" s="0" t="s">
        <v>216</v>
      </c>
      <c r="S144" s="0" t="s">
        <v>216</v>
      </c>
    </row>
    <row r="145" customFormat="false" ht="14.25" hidden="false" customHeight="false" outlineLevel="0" collapsed="false">
      <c r="A145" s="0" t="s">
        <v>423</v>
      </c>
      <c r="B145" s="0" t="s">
        <v>424</v>
      </c>
      <c r="C145" s="0" t="s">
        <v>55</v>
      </c>
      <c r="D145" s="0" t="s">
        <v>56</v>
      </c>
      <c r="F145" s="0" t="s">
        <v>216</v>
      </c>
      <c r="G145" s="0" t="s">
        <v>138</v>
      </c>
      <c r="M145" s="0" t="s">
        <v>216</v>
      </c>
      <c r="O145" s="0" t="n">
        <v>53.741</v>
      </c>
      <c r="P145" s="0" t="s">
        <v>216</v>
      </c>
      <c r="Q145" s="0" t="s">
        <v>216</v>
      </c>
      <c r="S145" s="0" t="s">
        <v>216</v>
      </c>
    </row>
    <row r="146" customFormat="false" ht="14.25" hidden="false" customHeight="false" outlineLevel="0" collapsed="false">
      <c r="A146" s="0" t="s">
        <v>425</v>
      </c>
      <c r="B146" s="0" t="s">
        <v>426</v>
      </c>
      <c r="C146" s="0" t="s">
        <v>55</v>
      </c>
      <c r="D146" s="0" t="s">
        <v>56</v>
      </c>
      <c r="F146" s="0" t="s">
        <v>216</v>
      </c>
      <c r="G146" s="0" t="s">
        <v>138</v>
      </c>
      <c r="M146" s="0" t="s">
        <v>216</v>
      </c>
      <c r="O146" s="0" t="n">
        <v>97.157</v>
      </c>
      <c r="P146" s="0" t="s">
        <v>216</v>
      </c>
      <c r="Q146" s="0" t="s">
        <v>216</v>
      </c>
      <c r="S146" s="0" t="s">
        <v>216</v>
      </c>
    </row>
    <row r="147" customFormat="false" ht="14.25" hidden="false" customHeight="false" outlineLevel="0" collapsed="false">
      <c r="A147" s="0" t="s">
        <v>427</v>
      </c>
      <c r="B147" s="0" t="s">
        <v>428</v>
      </c>
      <c r="C147" s="0" t="s">
        <v>55</v>
      </c>
      <c r="D147" s="0" t="s">
        <v>56</v>
      </c>
      <c r="F147" s="0" t="s">
        <v>216</v>
      </c>
      <c r="G147" s="0" t="s">
        <v>138</v>
      </c>
      <c r="M147" s="0" t="s">
        <v>216</v>
      </c>
      <c r="O147" s="0" t="n">
        <v>45.277</v>
      </c>
      <c r="P147" s="0" t="s">
        <v>216</v>
      </c>
      <c r="Q147" s="0" t="s">
        <v>216</v>
      </c>
      <c r="S147" s="0" t="s">
        <v>216</v>
      </c>
    </row>
    <row r="148" customFormat="false" ht="14.25" hidden="false" customHeight="false" outlineLevel="0" collapsed="false">
      <c r="A148" s="0" t="s">
        <v>429</v>
      </c>
      <c r="B148" s="0" t="s">
        <v>430</v>
      </c>
      <c r="C148" s="0" t="s">
        <v>55</v>
      </c>
      <c r="D148" s="0" t="s">
        <v>56</v>
      </c>
      <c r="F148" s="0" t="s">
        <v>216</v>
      </c>
      <c r="G148" s="0" t="s">
        <v>138</v>
      </c>
      <c r="M148" s="0" t="s">
        <v>216</v>
      </c>
      <c r="O148" s="0" t="n">
        <v>48.274</v>
      </c>
      <c r="P148" s="0" t="s">
        <v>216</v>
      </c>
      <c r="Q148" s="0" t="s">
        <v>216</v>
      </c>
      <c r="S148" s="0" t="s">
        <v>216</v>
      </c>
    </row>
    <row r="149" customFormat="false" ht="14.25" hidden="false" customHeight="false" outlineLevel="0" collapsed="false">
      <c r="A149" s="0" t="s">
        <v>431</v>
      </c>
      <c r="B149" s="0" t="s">
        <v>432</v>
      </c>
      <c r="C149" s="0" t="s">
        <v>55</v>
      </c>
      <c r="D149" s="0" t="s">
        <v>56</v>
      </c>
      <c r="F149" s="0" t="s">
        <v>216</v>
      </c>
      <c r="G149" s="0" t="s">
        <v>138</v>
      </c>
      <c r="M149" s="0" t="s">
        <v>216</v>
      </c>
      <c r="O149" s="0" t="n">
        <v>195.4</v>
      </c>
      <c r="P149" s="0" t="s">
        <v>216</v>
      </c>
      <c r="Q149" s="0" t="s">
        <v>216</v>
      </c>
      <c r="S149" s="0" t="s">
        <v>216</v>
      </c>
    </row>
    <row r="150" customFormat="false" ht="14.25" hidden="false" customHeight="false" outlineLevel="0" collapsed="false">
      <c r="A150" s="0" t="s">
        <v>433</v>
      </c>
      <c r="B150" s="0" t="s">
        <v>434</v>
      </c>
      <c r="C150" s="0" t="s">
        <v>55</v>
      </c>
      <c r="D150" s="0" t="s">
        <v>56</v>
      </c>
      <c r="F150" s="0" t="s">
        <v>216</v>
      </c>
      <c r="G150" s="0" t="s">
        <v>138</v>
      </c>
      <c r="M150" s="0" t="s">
        <v>216</v>
      </c>
      <c r="O150" s="0" t="n">
        <v>177.105</v>
      </c>
      <c r="P150" s="0" t="s">
        <v>216</v>
      </c>
      <c r="Q150" s="0" t="s">
        <v>216</v>
      </c>
      <c r="S150" s="0" t="s">
        <v>216</v>
      </c>
    </row>
    <row r="151" customFormat="false" ht="14.25" hidden="false" customHeight="false" outlineLevel="0" collapsed="false">
      <c r="A151" s="0" t="s">
        <v>435</v>
      </c>
      <c r="B151" s="0" t="s">
        <v>436</v>
      </c>
      <c r="C151" s="0" t="s">
        <v>55</v>
      </c>
      <c r="D151" s="0" t="s">
        <v>56</v>
      </c>
      <c r="F151" s="0" t="s">
        <v>216</v>
      </c>
      <c r="G151" s="0" t="s">
        <v>138</v>
      </c>
      <c r="M151" s="0" t="s">
        <v>216</v>
      </c>
      <c r="O151" s="0" t="n">
        <v>21.08106</v>
      </c>
      <c r="P151" s="0" t="s">
        <v>216</v>
      </c>
      <c r="Q151" s="0" t="s">
        <v>216</v>
      </c>
      <c r="S151" s="0" t="s">
        <v>216</v>
      </c>
    </row>
    <row r="152" customFormat="false" ht="14.25" hidden="false" customHeight="false" outlineLevel="0" collapsed="false">
      <c r="A152" s="0" t="s">
        <v>437</v>
      </c>
      <c r="B152" s="0" t="s">
        <v>438</v>
      </c>
      <c r="C152" s="0" t="s">
        <v>55</v>
      </c>
      <c r="D152" s="0" t="s">
        <v>56</v>
      </c>
      <c r="F152" s="0" t="s">
        <v>216</v>
      </c>
      <c r="G152" s="0" t="s">
        <v>138</v>
      </c>
      <c r="M152" s="0" t="s">
        <v>216</v>
      </c>
      <c r="O152" s="0" t="n">
        <v>187</v>
      </c>
      <c r="P152" s="0" t="s">
        <v>216</v>
      </c>
      <c r="Q152" s="0" t="s">
        <v>216</v>
      </c>
      <c r="S152" s="0" t="s">
        <v>216</v>
      </c>
    </row>
    <row r="153" customFormat="false" ht="14.25" hidden="false" customHeight="false" outlineLevel="0" collapsed="false">
      <c r="A153" s="0" t="s">
        <v>439</v>
      </c>
      <c r="B153" s="0" t="s">
        <v>440</v>
      </c>
      <c r="C153" s="0" t="s">
        <v>55</v>
      </c>
      <c r="D153" s="0" t="s">
        <v>56</v>
      </c>
      <c r="F153" s="0" t="s">
        <v>216</v>
      </c>
      <c r="G153" s="0" t="s">
        <v>138</v>
      </c>
      <c r="M153" s="0" t="s">
        <v>216</v>
      </c>
      <c r="O153" s="0" t="n">
        <v>21.01</v>
      </c>
      <c r="P153" s="0" t="s">
        <v>216</v>
      </c>
      <c r="Q153" s="0" t="s">
        <v>216</v>
      </c>
      <c r="S153" s="0" t="s">
        <v>216</v>
      </c>
    </row>
    <row r="154" customFormat="false" ht="14.25" hidden="false" customHeight="false" outlineLevel="0" collapsed="false">
      <c r="A154" s="0" t="s">
        <v>441</v>
      </c>
      <c r="B154" s="0" t="s">
        <v>442</v>
      </c>
      <c r="C154" s="0" t="s">
        <v>55</v>
      </c>
      <c r="D154" s="0" t="s">
        <v>56</v>
      </c>
      <c r="F154" s="0" t="s">
        <v>216</v>
      </c>
      <c r="G154" s="0" t="s">
        <v>138</v>
      </c>
      <c r="M154" s="0" t="s">
        <v>216</v>
      </c>
      <c r="O154" s="0" t="n">
        <v>48</v>
      </c>
      <c r="P154" s="0" t="s">
        <v>216</v>
      </c>
      <c r="Q154" s="0" t="s">
        <v>216</v>
      </c>
      <c r="S154" s="0" t="s">
        <v>216</v>
      </c>
    </row>
    <row r="155" customFormat="false" ht="14.25" hidden="false" customHeight="false" outlineLevel="0" collapsed="false">
      <c r="A155" s="0" t="s">
        <v>443</v>
      </c>
      <c r="B155" s="0" t="s">
        <v>444</v>
      </c>
      <c r="C155" s="0" t="s">
        <v>55</v>
      </c>
      <c r="D155" s="0" t="s">
        <v>56</v>
      </c>
      <c r="F155" s="0" t="s">
        <v>216</v>
      </c>
      <c r="G155" s="0" t="s">
        <v>138</v>
      </c>
      <c r="M155" s="0" t="s">
        <v>216</v>
      </c>
      <c r="O155" s="0" t="n">
        <v>187.13</v>
      </c>
      <c r="P155" s="0" t="s">
        <v>216</v>
      </c>
      <c r="Q155" s="0" t="s">
        <v>216</v>
      </c>
      <c r="S155" s="0" t="s">
        <v>216</v>
      </c>
    </row>
    <row r="156" customFormat="false" ht="14.25" hidden="false" customHeight="false" outlineLevel="0" collapsed="false">
      <c r="A156" s="0" t="s">
        <v>445</v>
      </c>
      <c r="B156" s="0" t="s">
        <v>446</v>
      </c>
      <c r="C156" s="0" t="s">
        <v>55</v>
      </c>
      <c r="D156" s="0" t="s">
        <v>56</v>
      </c>
      <c r="F156" s="0" t="s">
        <v>216</v>
      </c>
      <c r="G156" s="0" t="s">
        <v>138</v>
      </c>
      <c r="M156" s="0" t="s">
        <v>216</v>
      </c>
      <c r="O156" s="0" t="n">
        <v>42.7</v>
      </c>
      <c r="P156" s="0" t="s">
        <v>216</v>
      </c>
      <c r="Q156" s="0" t="s">
        <v>216</v>
      </c>
      <c r="S156" s="0" t="s">
        <v>216</v>
      </c>
    </row>
    <row r="157" customFormat="false" ht="14.25" hidden="false" customHeight="false" outlineLevel="0" collapsed="false">
      <c r="A157" s="0" t="s">
        <v>447</v>
      </c>
      <c r="B157" s="0" t="s">
        <v>448</v>
      </c>
      <c r="C157" s="0" t="s">
        <v>55</v>
      </c>
      <c r="D157" s="0" t="s">
        <v>56</v>
      </c>
      <c r="F157" s="0" t="s">
        <v>216</v>
      </c>
      <c r="G157" s="0" t="s">
        <v>138</v>
      </c>
      <c r="M157" s="0" t="s">
        <v>216</v>
      </c>
      <c r="O157" s="0" t="n">
        <v>20.2</v>
      </c>
      <c r="P157" s="0" t="s">
        <v>216</v>
      </c>
      <c r="Q157" s="0" t="s">
        <v>216</v>
      </c>
      <c r="S157" s="0" t="s">
        <v>216</v>
      </c>
    </row>
    <row r="158" customFormat="false" ht="14.25" hidden="false" customHeight="false" outlineLevel="0" collapsed="false">
      <c r="A158" s="0" t="s">
        <v>449</v>
      </c>
      <c r="B158" s="0" t="s">
        <v>450</v>
      </c>
      <c r="C158" s="0" t="s">
        <v>55</v>
      </c>
      <c r="D158" s="0" t="s">
        <v>56</v>
      </c>
      <c r="F158" s="0" t="s">
        <v>216</v>
      </c>
      <c r="G158" s="0" t="s">
        <v>138</v>
      </c>
      <c r="M158" s="0" t="s">
        <v>216</v>
      </c>
      <c r="O158" s="0" t="n">
        <v>57.9</v>
      </c>
      <c r="P158" s="0" t="s">
        <v>216</v>
      </c>
      <c r="Q158" s="0" t="s">
        <v>216</v>
      </c>
      <c r="S158" s="0" t="s">
        <v>216</v>
      </c>
    </row>
    <row r="159" customFormat="false" ht="14.25" hidden="false" customHeight="false" outlineLevel="0" collapsed="false">
      <c r="A159" s="0" t="s">
        <v>451</v>
      </c>
      <c r="B159" s="0" t="s">
        <v>452</v>
      </c>
      <c r="C159" s="0" t="s">
        <v>55</v>
      </c>
      <c r="D159" s="0" t="s">
        <v>56</v>
      </c>
      <c r="F159" s="0" t="s">
        <v>216</v>
      </c>
      <c r="G159" s="0" t="s">
        <v>138</v>
      </c>
      <c r="M159" s="0" t="s">
        <v>216</v>
      </c>
      <c r="O159" s="0" t="n">
        <v>42.4</v>
      </c>
      <c r="P159" s="0" t="s">
        <v>216</v>
      </c>
      <c r="Q159" s="0" t="s">
        <v>216</v>
      </c>
      <c r="S159" s="0" t="s">
        <v>216</v>
      </c>
    </row>
    <row r="160" customFormat="false" ht="14.25" hidden="false" customHeight="false" outlineLevel="0" collapsed="false">
      <c r="A160" s="0" t="s">
        <v>453</v>
      </c>
      <c r="B160" s="0" t="s">
        <v>454</v>
      </c>
      <c r="C160" s="0" t="s">
        <v>55</v>
      </c>
      <c r="D160" s="0" t="s">
        <v>56</v>
      </c>
      <c r="F160" s="0" t="s">
        <v>216</v>
      </c>
      <c r="G160" s="0" t="s">
        <v>138</v>
      </c>
      <c r="M160" s="0" t="s">
        <v>216</v>
      </c>
      <c r="O160" s="0" t="n">
        <v>195.366</v>
      </c>
      <c r="P160" s="0" t="s">
        <v>216</v>
      </c>
      <c r="Q160" s="0" t="s">
        <v>216</v>
      </c>
      <c r="S160" s="0" t="s">
        <v>216</v>
      </c>
    </row>
    <row r="161" customFormat="false" ht="14.25" hidden="false" customHeight="false" outlineLevel="0" collapsed="false">
      <c r="A161" s="0" t="s">
        <v>455</v>
      </c>
      <c r="B161" s="0" t="s">
        <v>456</v>
      </c>
      <c r="C161" s="0" t="s">
        <v>55</v>
      </c>
      <c r="D161" s="0" t="s">
        <v>56</v>
      </c>
      <c r="F161" s="0" t="s">
        <v>216</v>
      </c>
      <c r="G161" s="0" t="s">
        <v>138</v>
      </c>
      <c r="M161" s="0" t="s">
        <v>216</v>
      </c>
      <c r="O161" s="0" t="n">
        <v>26.237</v>
      </c>
      <c r="P161" s="0" t="s">
        <v>216</v>
      </c>
      <c r="Q161" s="0" t="s">
        <v>216</v>
      </c>
      <c r="S161" s="0" t="s">
        <v>216</v>
      </c>
    </row>
    <row r="162" customFormat="false" ht="14.25" hidden="false" customHeight="false" outlineLevel="0" collapsed="false">
      <c r="A162" s="0" t="s">
        <v>457</v>
      </c>
      <c r="B162" s="0" t="s">
        <v>458</v>
      </c>
      <c r="C162" s="0" t="s">
        <v>55</v>
      </c>
      <c r="D162" s="0" t="s">
        <v>56</v>
      </c>
      <c r="F162" s="0" t="s">
        <v>216</v>
      </c>
      <c r="G162" s="0" t="s">
        <v>138</v>
      </c>
      <c r="M162" s="0" t="s">
        <v>216</v>
      </c>
      <c r="O162" s="0" t="n">
        <v>55.524</v>
      </c>
      <c r="P162" s="0" t="s">
        <v>216</v>
      </c>
      <c r="Q162" s="0" t="s">
        <v>216</v>
      </c>
      <c r="S162" s="0" t="s">
        <v>216</v>
      </c>
    </row>
    <row r="163" customFormat="false" ht="14.25" hidden="false" customHeight="false" outlineLevel="0" collapsed="false">
      <c r="A163" s="0" t="s">
        <v>459</v>
      </c>
      <c r="B163" s="0" t="s">
        <v>460</v>
      </c>
      <c r="C163" s="0" t="s">
        <v>55</v>
      </c>
      <c r="D163" s="0" t="s">
        <v>56</v>
      </c>
      <c r="F163" s="0" t="s">
        <v>216</v>
      </c>
      <c r="G163" s="0" t="s">
        <v>138</v>
      </c>
      <c r="M163" s="0" t="s">
        <v>216</v>
      </c>
      <c r="O163" s="0" t="n">
        <v>51.523</v>
      </c>
      <c r="P163" s="0" t="s">
        <v>216</v>
      </c>
      <c r="Q163" s="0" t="s">
        <v>216</v>
      </c>
      <c r="S163" s="0" t="s">
        <v>216</v>
      </c>
    </row>
    <row r="164" customFormat="false" ht="14.25" hidden="false" customHeight="false" outlineLevel="0" collapsed="false">
      <c r="A164" s="0" t="s">
        <v>461</v>
      </c>
      <c r="B164" s="0" t="s">
        <v>462</v>
      </c>
      <c r="C164" s="0" t="s">
        <v>55</v>
      </c>
      <c r="D164" s="0" t="s">
        <v>56</v>
      </c>
      <c r="F164" s="0" t="s">
        <v>216</v>
      </c>
      <c r="G164" s="0" t="s">
        <v>138</v>
      </c>
      <c r="M164" s="0" t="s">
        <v>216</v>
      </c>
      <c r="O164" s="0" t="n">
        <v>62.476</v>
      </c>
      <c r="P164" s="0" t="s">
        <v>216</v>
      </c>
      <c r="Q164" s="0" t="s">
        <v>216</v>
      </c>
      <c r="S164" s="0" t="s">
        <v>216</v>
      </c>
    </row>
    <row r="165" customFormat="false" ht="14.25" hidden="false" customHeight="false" outlineLevel="0" collapsed="false">
      <c r="A165" s="0" t="s">
        <v>463</v>
      </c>
      <c r="B165" s="0" t="s">
        <v>464</v>
      </c>
      <c r="C165" s="0" t="s">
        <v>55</v>
      </c>
      <c r="D165" s="0" t="s">
        <v>56</v>
      </c>
      <c r="F165" s="0" t="s">
        <v>216</v>
      </c>
      <c r="G165" s="0" t="s">
        <v>138</v>
      </c>
      <c r="M165" s="0" t="s">
        <v>216</v>
      </c>
      <c r="O165" s="0" t="n">
        <v>109.882</v>
      </c>
      <c r="P165" s="0" t="s">
        <v>216</v>
      </c>
      <c r="Q165" s="0" t="s">
        <v>216</v>
      </c>
      <c r="S165" s="0" t="s">
        <v>216</v>
      </c>
    </row>
    <row r="166" customFormat="false" ht="14.25" hidden="false" customHeight="false" outlineLevel="0" collapsed="false">
      <c r="A166" s="0" t="s">
        <v>465</v>
      </c>
      <c r="B166" s="0" t="s">
        <v>466</v>
      </c>
      <c r="C166" s="0" t="s">
        <v>55</v>
      </c>
      <c r="D166" s="0" t="s">
        <v>56</v>
      </c>
      <c r="F166" s="0" t="s">
        <v>216</v>
      </c>
      <c r="G166" s="0" t="s">
        <v>138</v>
      </c>
      <c r="M166" s="0" t="s">
        <v>216</v>
      </c>
      <c r="O166" s="0" t="n">
        <v>142.03488</v>
      </c>
      <c r="P166" s="0" t="s">
        <v>216</v>
      </c>
      <c r="Q166" s="0" t="s">
        <v>216</v>
      </c>
      <c r="S166" s="0" t="s">
        <v>216</v>
      </c>
    </row>
    <row r="167" customFormat="false" ht="14.25" hidden="false" customHeight="false" outlineLevel="0" collapsed="false">
      <c r="A167" s="0" t="s">
        <v>467</v>
      </c>
      <c r="B167" s="0" t="s">
        <v>468</v>
      </c>
      <c r="C167" s="0" t="s">
        <v>55</v>
      </c>
      <c r="D167" s="0" t="s">
        <v>56</v>
      </c>
      <c r="F167" s="0" t="s">
        <v>216</v>
      </c>
      <c r="G167" s="0" t="s">
        <v>138</v>
      </c>
      <c r="M167" s="0" t="s">
        <v>216</v>
      </c>
      <c r="O167" s="0" t="n">
        <v>46.24</v>
      </c>
      <c r="P167" s="0" t="s">
        <v>216</v>
      </c>
      <c r="Q167" s="0" t="s">
        <v>216</v>
      </c>
      <c r="S167" s="0" t="s">
        <v>216</v>
      </c>
    </row>
    <row r="168" customFormat="false" ht="14.25" hidden="false" customHeight="false" outlineLevel="0" collapsed="false">
      <c r="A168" s="0" t="s">
        <v>469</v>
      </c>
      <c r="B168" s="0" t="s">
        <v>470</v>
      </c>
      <c r="C168" s="0" t="s">
        <v>55</v>
      </c>
      <c r="D168" s="0" t="s">
        <v>56</v>
      </c>
      <c r="F168" s="0" t="s">
        <v>216</v>
      </c>
      <c r="G168" s="0" t="s">
        <v>138</v>
      </c>
      <c r="M168" s="0" t="s">
        <v>216</v>
      </c>
      <c r="O168" s="0" t="n">
        <v>96.89</v>
      </c>
      <c r="P168" s="0" t="s">
        <v>216</v>
      </c>
      <c r="Q168" s="0" t="s">
        <v>216</v>
      </c>
      <c r="S168" s="0" t="s">
        <v>216</v>
      </c>
    </row>
    <row r="169" customFormat="false" ht="14.25" hidden="false" customHeight="false" outlineLevel="0" collapsed="false">
      <c r="A169" s="0" t="s">
        <v>471</v>
      </c>
      <c r="B169" s="0" t="s">
        <v>472</v>
      </c>
      <c r="C169" s="0" t="s">
        <v>55</v>
      </c>
      <c r="D169" s="0" t="s">
        <v>56</v>
      </c>
      <c r="F169" s="0" t="s">
        <v>216</v>
      </c>
      <c r="G169" s="0" t="s">
        <v>138</v>
      </c>
      <c r="M169" s="0" t="s">
        <v>216</v>
      </c>
      <c r="O169" s="0" t="n">
        <v>61.98</v>
      </c>
      <c r="P169" s="0" t="s">
        <v>216</v>
      </c>
      <c r="Q169" s="0" t="s">
        <v>216</v>
      </c>
      <c r="S169" s="0" t="s">
        <v>216</v>
      </c>
    </row>
    <row r="170" customFormat="false" ht="14.25" hidden="false" customHeight="false" outlineLevel="0" collapsed="false">
      <c r="A170" s="0" t="s">
        <v>473</v>
      </c>
      <c r="B170" s="0" t="s">
        <v>474</v>
      </c>
      <c r="C170" s="0" t="s">
        <v>55</v>
      </c>
      <c r="D170" s="0" t="s">
        <v>56</v>
      </c>
      <c r="F170" s="0" t="s">
        <v>216</v>
      </c>
      <c r="G170" s="0" t="s">
        <v>138</v>
      </c>
      <c r="M170" s="0" t="s">
        <v>216</v>
      </c>
      <c r="O170" s="0" t="n">
        <v>46.45</v>
      </c>
      <c r="P170" s="0" t="s">
        <v>216</v>
      </c>
      <c r="Q170" s="0" t="s">
        <v>216</v>
      </c>
      <c r="S170" s="0" t="s">
        <v>216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3" width="14"/>
    <col collapsed="false" customWidth="true" hidden="false" outlineLevel="0" max="3" min="3" style="0" width="14"/>
    <col collapsed="false" customWidth="true" hidden="false" outlineLevel="0" max="4" min="4" style="3" width="24"/>
    <col collapsed="false" customWidth="true" hidden="false" outlineLevel="0" max="5" min="5" style="0" width="14"/>
    <col collapsed="false" customWidth="true" hidden="false" outlineLevel="0" max="12" min="6" style="3" width="14"/>
    <col collapsed="false" customWidth="true" hidden="false" outlineLevel="0" max="13" min="13" style="3" width="24"/>
    <col collapsed="false" customWidth="true" hidden="false" outlineLevel="0" max="14" min="14" style="3" width="14"/>
    <col collapsed="false" customWidth="true" hidden="false" outlineLevel="0" max="15" min="15" style="3" width="24"/>
    <col collapsed="false" customWidth="true" hidden="false" outlineLevel="0" max="16" min="16" style="3" width="14"/>
  </cols>
  <sheetData>
    <row r="1" customFormat="false" ht="51" hidden="false" customHeight="true" outlineLevel="0" collapsed="false">
      <c r="A1" s="4" t="s">
        <v>0</v>
      </c>
      <c r="B1" s="4" t="s">
        <v>475</v>
      </c>
      <c r="C1" s="4" t="s">
        <v>476</v>
      </c>
      <c r="D1" s="4" t="s">
        <v>477</v>
      </c>
      <c r="E1" s="4" t="s">
        <v>478</v>
      </c>
      <c r="F1" s="4" t="s">
        <v>479</v>
      </c>
      <c r="G1" s="4" t="s">
        <v>480</v>
      </c>
      <c r="H1" s="4" t="s">
        <v>481</v>
      </c>
      <c r="I1" s="4" t="s">
        <v>482</v>
      </c>
      <c r="J1" s="4" t="s">
        <v>483</v>
      </c>
      <c r="K1" s="4" t="s">
        <v>484</v>
      </c>
      <c r="L1" s="4" t="s">
        <v>485</v>
      </c>
      <c r="M1" s="4" t="s">
        <v>486</v>
      </c>
      <c r="N1" s="4" t="s">
        <v>487</v>
      </c>
      <c r="O1" s="4" t="s">
        <v>488</v>
      </c>
      <c r="P1" s="4" t="s">
        <v>489</v>
      </c>
    </row>
    <row r="2" customFormat="false" ht="16.4" hidden="false" customHeight="false" outlineLevel="0" collapsed="false">
      <c r="A2" s="0" t="s">
        <v>36</v>
      </c>
      <c r="B2" s="5" t="s">
        <v>10</v>
      </c>
      <c r="C2" s="0" t="s">
        <v>490</v>
      </c>
      <c r="D2" s="0" t="s">
        <v>491</v>
      </c>
      <c r="E2" s="0" t="s">
        <v>492</v>
      </c>
      <c r="F2" s="5" t="s">
        <v>31</v>
      </c>
      <c r="G2" s="5" t="n">
        <f aca="false">IFERROR(VLOOKUP(F5,[1]Redesign_FX_Units!$A$4:$B$20,2,FALSE()),"")</f>
        <v>1</v>
      </c>
      <c r="H2" s="5"/>
      <c r="I2" s="5" t="s">
        <v>493</v>
      </c>
      <c r="J2" s="5" t="str">
        <f aca="false">IFERROR(VLOOKUP(A2,[1]Redesign_Core!$A$4:$P$63,15,FALSE()),"")</f>
        <v/>
      </c>
      <c r="K2" s="5" t="str">
        <f aca="false">IFERROR(VLOOKUP(A2,[1]Redesign_Core!$A$4:$P$63,16,FALSE()),"")</f>
        <v/>
      </c>
      <c r="L2" s="5" t="str">
        <f aca="false">IF(OR(H2="",I2=""),"",IF(I2="$/MWp",H2,IF(I2="$/kWp",H2*1000,IF(I2="m$",IF(J2="", "", H2*1000000/J2),IF(I2="$/MW AC",IF(OR(K2="",J2=""),"",H2*K2/J2),"")))))</f>
        <v/>
      </c>
      <c r="M2" s="5" t="s">
        <v>27</v>
      </c>
      <c r="N2" s="5" t="s">
        <v>494</v>
      </c>
      <c r="O2" s="5" t="s">
        <v>495</v>
      </c>
      <c r="P2" s="5" t="s">
        <v>496</v>
      </c>
    </row>
    <row r="3" customFormat="false" ht="16.4" hidden="false" customHeight="false" outlineLevel="0" collapsed="false">
      <c r="A3" s="0" t="s">
        <v>45</v>
      </c>
      <c r="B3" s="5" t="s">
        <v>10</v>
      </c>
      <c r="C3" s="0" t="s">
        <v>490</v>
      </c>
      <c r="D3" s="0" t="s">
        <v>491</v>
      </c>
      <c r="E3" s="0" t="s">
        <v>497</v>
      </c>
      <c r="F3" s="5" t="s">
        <v>31</v>
      </c>
      <c r="G3" s="5" t="n">
        <f aca="false">IFERROR(VLOOKUP(F6,[1]Redesign_FX_Units!$A$4:$B$20,2,FALSE()),"")</f>
        <v>1</v>
      </c>
      <c r="H3" s="5"/>
      <c r="I3" s="5" t="s">
        <v>493</v>
      </c>
      <c r="J3" s="5" t="str">
        <f aca="false">IFERROR(VLOOKUP(A3,[1]Redesign_Core!$A$4:$P$63,15,FALSE()),"")</f>
        <v/>
      </c>
      <c r="K3" s="5" t="str">
        <f aca="false">IFERROR(VLOOKUP(A3,[1]Redesign_Core!$A$4:$P$63,16,FALSE()),"")</f>
        <v/>
      </c>
      <c r="L3" s="5" t="str">
        <f aca="false">IF(OR(H3="",I3=""),"",IF(I3="$/MWp",H3,IF(I3="$/kWp",H3*1000,IF(I3="m$",IF(J3="", "", H3*1000000/J3),IF(I3="$/MW AC",IF(OR(K3="",J3=""),"",H3*K3/J3),"")))))</f>
        <v/>
      </c>
      <c r="M3" s="5" t="s">
        <v>27</v>
      </c>
      <c r="N3" s="5" t="s">
        <v>494</v>
      </c>
      <c r="O3" s="5"/>
      <c r="P3" s="5" t="s">
        <v>496</v>
      </c>
    </row>
    <row r="4" customFormat="false" ht="16.4" hidden="false" customHeight="false" outlineLevel="0" collapsed="false">
      <c r="A4" s="0" t="s">
        <v>58</v>
      </c>
      <c r="B4" s="5" t="s">
        <v>10</v>
      </c>
      <c r="C4" s="0" t="s">
        <v>490</v>
      </c>
      <c r="D4" s="0" t="s">
        <v>491</v>
      </c>
      <c r="E4" s="0" t="s">
        <v>498</v>
      </c>
      <c r="F4" s="5" t="s">
        <v>31</v>
      </c>
      <c r="G4" s="5" t="n">
        <f aca="false">IFERROR(VLOOKUP(F7,[1]Redesign_FX_Units!$A$4:$B$20,2,FALSE()),"")</f>
        <v>1</v>
      </c>
      <c r="H4" s="5"/>
      <c r="I4" s="5" t="s">
        <v>493</v>
      </c>
      <c r="J4" s="5" t="str">
        <f aca="false">IFERROR(VLOOKUP(A4,[1]Redesign_Core!$A$4:$P$63,15,FALSE()),"")</f>
        <v/>
      </c>
      <c r="K4" s="5" t="str">
        <f aca="false">IFERROR(VLOOKUP(A4,[1]Redesign_Core!$A$4:$P$63,16,FALSE()),"")</f>
        <v/>
      </c>
      <c r="L4" s="5" t="str">
        <f aca="false">IF(OR(H4="",I4=""),"",IF(I4="$/MWp",H4,IF(I4="$/kWp",H4*1000,IF(I4="m$",IF(J4="", "", H4*1000000/J4),IF(I4="$/MW AC",IF(OR(K4="",J4=""),"",H4*K4/J4),"")))))</f>
        <v/>
      </c>
      <c r="M4" s="5" t="s">
        <v>27</v>
      </c>
      <c r="N4" s="5" t="s">
        <v>494</v>
      </c>
      <c r="O4" s="5"/>
      <c r="P4" s="5" t="s">
        <v>496</v>
      </c>
    </row>
    <row r="5" customFormat="false" ht="46.25" hidden="false" customHeight="false" outlineLevel="0" collapsed="false">
      <c r="A5" s="0" t="s">
        <v>61</v>
      </c>
      <c r="B5" s="5" t="s">
        <v>10</v>
      </c>
      <c r="C5" s="0" t="s">
        <v>490</v>
      </c>
      <c r="D5" s="0" t="s">
        <v>491</v>
      </c>
      <c r="E5" s="0" t="s">
        <v>499</v>
      </c>
      <c r="F5" s="5" t="s">
        <v>31</v>
      </c>
      <c r="G5" s="5" t="n">
        <f aca="false">IFERROR(VLOOKUP(F8,[1]Redesign_FX_Units!$A$4:$B$20,2,FALSE()),"")</f>
        <v>1</v>
      </c>
      <c r="H5" s="5"/>
      <c r="I5" s="5" t="s">
        <v>493</v>
      </c>
      <c r="J5" s="5" t="str">
        <f aca="false">IFERROR(VLOOKUP(A5,[1]Redesign_Core!$A$4:$P$63,15,FALSE()),"")</f>
        <v/>
      </c>
      <c r="K5" s="5" t="str">
        <f aca="false">IFERROR(VLOOKUP(A5,[1]Redesign_Core!$A$4:$P$63,16,FALSE()),"")</f>
        <v/>
      </c>
      <c r="L5" s="5" t="str">
        <f aca="false">IF(OR(H5="",I5=""),"",IF(I5="$/MWp",H5,IF(I5="$/kWp",H5*1000,IF(I5="m$",IF(J5="", "", H5*1000000/J5),IF(I5="$/MW AC",IF(OR(K5="",J5=""),"",H5*K5/J5),"")))))</f>
        <v/>
      </c>
      <c r="M5" s="5" t="s">
        <v>27</v>
      </c>
      <c r="N5" s="5" t="s">
        <v>494</v>
      </c>
      <c r="O5" s="5" t="s">
        <v>500</v>
      </c>
      <c r="P5" s="5" t="s">
        <v>496</v>
      </c>
    </row>
    <row r="6" customFormat="false" ht="16.4" hidden="false" customHeight="false" outlineLevel="0" collapsed="false">
      <c r="A6" s="0" t="s">
        <v>68</v>
      </c>
      <c r="B6" s="5" t="s">
        <v>10</v>
      </c>
      <c r="C6" s="0" t="s">
        <v>490</v>
      </c>
      <c r="D6" s="0" t="s">
        <v>491</v>
      </c>
      <c r="E6" s="0" t="s">
        <v>501</v>
      </c>
      <c r="F6" s="5" t="s">
        <v>31</v>
      </c>
      <c r="G6" s="5" t="n">
        <f aca="false">IFERROR(VLOOKUP(F9,[1]Redesign_FX_Units!$A$4:$B$20,2,FALSE()),"")</f>
        <v>1</v>
      </c>
      <c r="H6" s="5"/>
      <c r="I6" s="5" t="s">
        <v>493</v>
      </c>
      <c r="J6" s="5" t="str">
        <f aca="false">IFERROR(VLOOKUP(A6,[1]Redesign_Core!$A$4:$P$63,15,FALSE()),"")</f>
        <v/>
      </c>
      <c r="K6" s="5" t="str">
        <f aca="false">IFERROR(VLOOKUP(A6,[1]Redesign_Core!$A$4:$P$63,16,FALSE()),"")</f>
        <v/>
      </c>
      <c r="L6" s="5" t="str">
        <f aca="false">IF(OR(H6="",I6=""),"",IF(I6="$/MWp",H6,IF(I6="$/kWp",H6*1000,IF(I6="m$",IF(J6="", "", H6*1000000/J6),IF(I6="$/MW AC",IF(OR(K6="",J6=""),"",H6*K6/J6),"")))))</f>
        <v/>
      </c>
      <c r="M6" s="5" t="s">
        <v>30</v>
      </c>
      <c r="N6" s="5" t="s">
        <v>502</v>
      </c>
      <c r="O6" s="5" t="s">
        <v>503</v>
      </c>
      <c r="P6" s="5" t="s">
        <v>496</v>
      </c>
    </row>
    <row r="7" customFormat="false" ht="31.3" hidden="false" customHeight="false" outlineLevel="0" collapsed="false">
      <c r="A7" s="0" t="s">
        <v>70</v>
      </c>
      <c r="B7" s="5" t="s">
        <v>10</v>
      </c>
      <c r="C7" s="0" t="s">
        <v>490</v>
      </c>
      <c r="D7" s="0" t="s">
        <v>491</v>
      </c>
      <c r="E7" s="0" t="s">
        <v>504</v>
      </c>
      <c r="F7" s="5" t="s">
        <v>31</v>
      </c>
      <c r="G7" s="5" t="n">
        <f aca="false">IFERROR(VLOOKUP(F10,[1]Redesign_FX_Units!$A$4:$B$20,2,FALSE()),"")</f>
        <v>1</v>
      </c>
      <c r="H7" s="5"/>
      <c r="I7" s="5" t="s">
        <v>493</v>
      </c>
      <c r="J7" s="5" t="str">
        <f aca="false">IFERROR(VLOOKUP(A7,[1]Redesign_Core!$A$4:$P$63,15,FALSE()),"")</f>
        <v/>
      </c>
      <c r="K7" s="5" t="str">
        <f aca="false">IFERROR(VLOOKUP(A7,[1]Redesign_Core!$A$4:$P$63,16,FALSE()),"")</f>
        <v/>
      </c>
      <c r="L7" s="5" t="str">
        <f aca="false">IF(OR(H7="",I7=""),"",IF(I7="$/MWp",H7,IF(I7="$/kWp",H7*1000,IF(I7="m$",IF(J7="", "", H7*1000000/J7),IF(I7="$/MW AC",IF(OR(K7="",J7=""),"",H7*K7/J7),"")))))</f>
        <v/>
      </c>
      <c r="M7" s="5" t="s">
        <v>30</v>
      </c>
      <c r="N7" s="5" t="s">
        <v>502</v>
      </c>
      <c r="O7" s="5" t="s">
        <v>505</v>
      </c>
      <c r="P7" s="5" t="s">
        <v>496</v>
      </c>
    </row>
    <row r="8" customFormat="false" ht="16.4" hidden="false" customHeight="false" outlineLevel="0" collapsed="false">
      <c r="A8" s="0" t="s">
        <v>77</v>
      </c>
      <c r="B8" s="5" t="s">
        <v>10</v>
      </c>
      <c r="C8" s="0" t="s">
        <v>490</v>
      </c>
      <c r="D8" s="0" t="s">
        <v>491</v>
      </c>
      <c r="E8" s="0" t="s">
        <v>501</v>
      </c>
      <c r="F8" s="5" t="s">
        <v>31</v>
      </c>
      <c r="G8" s="3" t="n">
        <v>1</v>
      </c>
      <c r="I8" s="5" t="s">
        <v>493</v>
      </c>
      <c r="J8" s="3" t="n">
        <v>36</v>
      </c>
      <c r="K8" s="3" t="n">
        <v>30</v>
      </c>
      <c r="L8" s="5" t="str">
        <f aca="false">IF(OR(H8="",I8=""),"",IF(I8="$/MWp",H8,IF(I8="$/kWp",H8*1000,IF(I8="m$",IF(J8="", "", H8*1000000/J8),IF(I8="$/MW AC",IF(OR(K8="",J8=""),"",H8*K8/J8),"")))))</f>
        <v/>
      </c>
      <c r="M8" s="5" t="s">
        <v>30</v>
      </c>
      <c r="N8" s="3" t="s">
        <v>494</v>
      </c>
      <c r="O8" s="3" t="s">
        <v>506</v>
      </c>
      <c r="P8" s="5"/>
    </row>
    <row r="9" customFormat="false" ht="16.4" hidden="false" customHeight="false" outlineLevel="0" collapsed="false">
      <c r="A9" s="0" t="s">
        <v>80</v>
      </c>
      <c r="B9" s="5" t="s">
        <v>10</v>
      </c>
      <c r="C9" s="0" t="s">
        <v>490</v>
      </c>
      <c r="D9" s="0" t="s">
        <v>491</v>
      </c>
      <c r="E9" s="0" t="s">
        <v>504</v>
      </c>
      <c r="F9" s="5" t="s">
        <v>31</v>
      </c>
      <c r="G9" s="3" t="n">
        <v>1</v>
      </c>
      <c r="I9" s="5" t="s">
        <v>493</v>
      </c>
      <c r="J9" s="3" t="n">
        <v>123</v>
      </c>
      <c r="K9" s="3" t="n">
        <v>102</v>
      </c>
      <c r="L9" s="5" t="str">
        <f aca="false">IF(OR(H9="",I9=""),"",IF(I9="$/MWp",H9,IF(I9="$/kWp",H9*1000,IF(I9="m$",IF(J9="", "", H9*1000000/J9),IF(I9="$/MW AC",IF(OR(K9="",J9=""),"",H9*K9/J9),"")))))</f>
        <v/>
      </c>
      <c r="M9" s="5" t="s">
        <v>30</v>
      </c>
      <c r="N9" s="3" t="s">
        <v>494</v>
      </c>
      <c r="O9" s="3" t="s">
        <v>507</v>
      </c>
      <c r="P9" s="5"/>
    </row>
    <row r="10" customFormat="false" ht="16.4" hidden="false" customHeight="false" outlineLevel="0" collapsed="false">
      <c r="A10" s="0" t="s">
        <v>86</v>
      </c>
      <c r="B10" s="5" t="s">
        <v>10</v>
      </c>
      <c r="C10" s="0" t="s">
        <v>490</v>
      </c>
      <c r="D10" s="0" t="s">
        <v>491</v>
      </c>
      <c r="E10" s="0" t="s">
        <v>501</v>
      </c>
      <c r="F10" s="5" t="s">
        <v>31</v>
      </c>
      <c r="G10" s="3" t="n">
        <v>1</v>
      </c>
      <c r="I10" s="5" t="s">
        <v>493</v>
      </c>
      <c r="J10" s="3" t="n">
        <v>36</v>
      </c>
      <c r="K10" s="3" t="n">
        <v>30</v>
      </c>
      <c r="L10" s="5" t="str">
        <f aca="false">IF(OR(H10="",I10=""),"",IF(I10="$/MWp",H10,IF(I10="$/kWp",H10*1000,IF(I10="m$",IF(J10="", "", H10*1000000/J10),IF(I10="$/MW AC",IF(OR(K10="",J10=""),"",H10*K10/J10),"")))))</f>
        <v/>
      </c>
      <c r="M10" s="5" t="s">
        <v>30</v>
      </c>
      <c r="N10" s="3" t="s">
        <v>494</v>
      </c>
      <c r="O10" s="3" t="s">
        <v>506</v>
      </c>
      <c r="P10" s="5"/>
    </row>
    <row r="11" customFormat="false" ht="16.4" hidden="false" customHeight="false" outlineLevel="0" collapsed="false">
      <c r="A11" s="0" t="s">
        <v>88</v>
      </c>
      <c r="B11" s="5" t="s">
        <v>10</v>
      </c>
      <c r="C11" s="0" t="s">
        <v>490</v>
      </c>
      <c r="D11" s="0" t="s">
        <v>491</v>
      </c>
      <c r="E11" s="0" t="s">
        <v>504</v>
      </c>
      <c r="F11" s="5" t="s">
        <v>31</v>
      </c>
      <c r="G11" s="3" t="n">
        <v>1</v>
      </c>
      <c r="I11" s="5" t="s">
        <v>493</v>
      </c>
      <c r="J11" s="3" t="n">
        <v>150</v>
      </c>
      <c r="K11" s="3" t="n">
        <v>126</v>
      </c>
      <c r="L11" s="5" t="str">
        <f aca="false">IF(OR(H11="",I11=""),"",IF(I11="$/MWp",H11,IF(I11="$/kWp",H11*1000,IF(I11="m$",IF(J11="", "", H11*1000000/J11),IF(I11="$/MW AC",IF(OR(K11="",J11=""),"",H11*K11/J11),"")))))</f>
        <v/>
      </c>
      <c r="M11" s="5" t="s">
        <v>30</v>
      </c>
      <c r="N11" s="3" t="s">
        <v>494</v>
      </c>
      <c r="O11" s="3" t="s">
        <v>508</v>
      </c>
      <c r="P11" s="5"/>
    </row>
    <row r="12" customFormat="false" ht="16.4" hidden="false" customHeight="false" outlineLevel="0" collapsed="false">
      <c r="A12" s="0" t="s">
        <v>94</v>
      </c>
      <c r="B12" s="5" t="s">
        <v>10</v>
      </c>
      <c r="C12" s="0" t="s">
        <v>490</v>
      </c>
      <c r="D12" s="0" t="s">
        <v>491</v>
      </c>
      <c r="E12" s="0" t="s">
        <v>501</v>
      </c>
      <c r="F12" s="5" t="s">
        <v>31</v>
      </c>
      <c r="G12" s="3" t="n">
        <v>1</v>
      </c>
      <c r="I12" s="5" t="s">
        <v>493</v>
      </c>
      <c r="J12" s="3" t="n">
        <v>34.5</v>
      </c>
      <c r="K12" s="3" t="n">
        <v>30</v>
      </c>
      <c r="L12" s="5" t="str">
        <f aca="false">IF(OR(H12="",I12=""),"",IF(I12="$/MWp",H12,IF(I12="$/kWp",H12*1000,IF(I12="m$",IF(J12="", "", H12*1000000/J12),IF(I12="$/MW AC",IF(OR(K12="",J12=""),"",H12*K12/J12),"")))))</f>
        <v/>
      </c>
      <c r="M12" s="5" t="s">
        <v>30</v>
      </c>
      <c r="N12" s="3" t="s">
        <v>494</v>
      </c>
      <c r="O12" s="3" t="s">
        <v>509</v>
      </c>
      <c r="P12" s="5"/>
    </row>
    <row r="13" customFormat="false" ht="16.4" hidden="false" customHeight="false" outlineLevel="0" collapsed="false">
      <c r="A13" s="0" t="s">
        <v>96</v>
      </c>
      <c r="B13" s="5" t="s">
        <v>10</v>
      </c>
      <c r="C13" s="0" t="s">
        <v>490</v>
      </c>
      <c r="D13" s="0" t="s">
        <v>491</v>
      </c>
      <c r="E13" s="0" t="s">
        <v>504</v>
      </c>
      <c r="F13" s="5" t="s">
        <v>31</v>
      </c>
      <c r="G13" s="3" t="n">
        <v>1</v>
      </c>
      <c r="I13" s="5" t="s">
        <v>493</v>
      </c>
      <c r="J13" s="3" t="n">
        <v>87.9</v>
      </c>
      <c r="K13" s="3" t="n">
        <v>73.3</v>
      </c>
      <c r="L13" s="5" t="str">
        <f aca="false">IF(OR(H13="",I13=""),"",IF(I13="$/MWp",H13,IF(I13="$/kWp",H13*1000,IF(I13="m$",IF(J13="", "", H13*1000000/J13),IF(I13="$/MW AC",IF(OR(K13="",J13=""),"",H13*K13/J13),"")))))</f>
        <v/>
      </c>
      <c r="M13" s="5" t="s">
        <v>30</v>
      </c>
      <c r="N13" s="3" t="s">
        <v>494</v>
      </c>
      <c r="O13" s="3" t="s">
        <v>510</v>
      </c>
      <c r="P13" s="5"/>
    </row>
    <row r="14" customFormat="false" ht="16.4" hidden="false" customHeight="false" outlineLevel="0" collapsed="false">
      <c r="A14" s="0" t="s">
        <v>101</v>
      </c>
      <c r="B14" s="5" t="s">
        <v>10</v>
      </c>
      <c r="C14" s="0" t="s">
        <v>490</v>
      </c>
      <c r="D14" s="0" t="s">
        <v>491</v>
      </c>
      <c r="E14" s="0" t="s">
        <v>511</v>
      </c>
      <c r="F14" s="5" t="s">
        <v>31</v>
      </c>
      <c r="G14" s="3" t="n">
        <v>1</v>
      </c>
      <c r="I14" s="5" t="s">
        <v>493</v>
      </c>
      <c r="J14" s="3" t="n">
        <v>22</v>
      </c>
      <c r="K14" s="3" t="n">
        <v>17.4</v>
      </c>
      <c r="L14" s="5" t="str">
        <f aca="false">IF(OR(H14="",I14=""),"",IF(I14="$/MWp",H14,IF(I14="$/kWp",H14*1000,IF(I14="m$",IF(J14="", "", H14*1000000/J14),IF(I14="$/MW AC",IF(OR(K14="",J14=""),"",H14*K14/J14),"")))))</f>
        <v/>
      </c>
      <c r="M14" s="5" t="s">
        <v>30</v>
      </c>
      <c r="N14" s="3" t="s">
        <v>494</v>
      </c>
      <c r="O14" s="3" t="s">
        <v>512</v>
      </c>
      <c r="P14" s="5"/>
    </row>
    <row r="15" customFormat="false" ht="16.4" hidden="false" customHeight="false" outlineLevel="0" collapsed="false">
      <c r="A15" s="0" t="s">
        <v>103</v>
      </c>
      <c r="B15" s="5" t="s">
        <v>10</v>
      </c>
      <c r="C15" s="0" t="s">
        <v>490</v>
      </c>
      <c r="D15" s="0" t="s">
        <v>491</v>
      </c>
      <c r="E15" s="0" t="s">
        <v>513</v>
      </c>
      <c r="F15" s="5" t="s">
        <v>31</v>
      </c>
      <c r="G15" s="3" t="n">
        <v>1</v>
      </c>
      <c r="I15" s="5" t="s">
        <v>493</v>
      </c>
      <c r="J15" s="3" t="n">
        <v>51</v>
      </c>
      <c r="K15" s="3" t="n">
        <v>40</v>
      </c>
      <c r="L15" s="5" t="str">
        <f aca="false">IF(OR(H15="",I15=""),"",IF(I15="$/MWp",H15,IF(I15="$/kWp",H15*1000,IF(I15="m$",IF(J15="", "", H15*1000000/J15),IF(I15="$/MW AC",IF(OR(K15="",J15=""),"",H15*K15/J15),"")))))</f>
        <v/>
      </c>
      <c r="M15" s="5" t="s">
        <v>30</v>
      </c>
      <c r="N15" s="3" t="s">
        <v>494</v>
      </c>
      <c r="O15" s="3" t="s">
        <v>514</v>
      </c>
      <c r="P15" s="5"/>
    </row>
    <row r="16" customFormat="false" ht="16.4" hidden="false" customHeight="false" outlineLevel="0" collapsed="false">
      <c r="A16" s="0" t="s">
        <v>109</v>
      </c>
      <c r="B16" s="5" t="s">
        <v>10</v>
      </c>
      <c r="C16" s="0" t="s">
        <v>490</v>
      </c>
      <c r="D16" s="0" t="s">
        <v>491</v>
      </c>
      <c r="E16" s="0" t="s">
        <v>501</v>
      </c>
      <c r="F16" s="5" t="s">
        <v>31</v>
      </c>
      <c r="G16" s="5"/>
      <c r="H16" s="5"/>
      <c r="I16" s="5" t="s">
        <v>493</v>
      </c>
      <c r="J16" s="5"/>
      <c r="K16" s="5"/>
      <c r="L16" s="5"/>
      <c r="M16" s="5"/>
      <c r="N16" s="5"/>
      <c r="O16" s="5"/>
      <c r="P16" s="5"/>
    </row>
    <row r="17" customFormat="false" ht="16.4" hidden="false" customHeight="false" outlineLevel="0" collapsed="false">
      <c r="A17" s="0" t="s">
        <v>111</v>
      </c>
      <c r="B17" s="5" t="s">
        <v>10</v>
      </c>
      <c r="C17" s="0" t="s">
        <v>490</v>
      </c>
      <c r="D17" s="0" t="s">
        <v>491</v>
      </c>
      <c r="E17" s="0" t="s">
        <v>504</v>
      </c>
      <c r="F17" s="5" t="s">
        <v>31</v>
      </c>
      <c r="G17" s="5"/>
      <c r="H17" s="5"/>
      <c r="I17" s="5" t="s">
        <v>493</v>
      </c>
      <c r="J17" s="5"/>
      <c r="K17" s="5"/>
      <c r="L17" s="5"/>
      <c r="M17" s="5"/>
      <c r="N17" s="5"/>
      <c r="O17" s="5"/>
      <c r="P17" s="5"/>
    </row>
    <row r="18" customFormat="false" ht="16.4" hidden="false" customHeight="false" outlineLevel="0" collapsed="false">
      <c r="A18" s="0" t="s">
        <v>116</v>
      </c>
      <c r="B18" s="5" t="s">
        <v>10</v>
      </c>
      <c r="C18" s="0" t="s">
        <v>490</v>
      </c>
      <c r="D18" s="0" t="s">
        <v>491</v>
      </c>
      <c r="E18" s="0" t="s">
        <v>515</v>
      </c>
      <c r="F18" s="5" t="s">
        <v>31</v>
      </c>
      <c r="G18" s="5"/>
      <c r="H18" s="5"/>
      <c r="I18" s="5" t="s">
        <v>493</v>
      </c>
      <c r="J18" s="5"/>
      <c r="K18" s="5"/>
      <c r="L18" s="5"/>
      <c r="M18" s="5"/>
      <c r="N18" s="5"/>
      <c r="O18" s="5"/>
      <c r="P18" s="5"/>
    </row>
    <row r="19" customFormat="false" ht="16.4" hidden="false" customHeight="false" outlineLevel="0" collapsed="false">
      <c r="A19" s="0" t="s">
        <v>118</v>
      </c>
      <c r="B19" s="5" t="s">
        <v>10</v>
      </c>
      <c r="C19" s="0" t="s">
        <v>490</v>
      </c>
      <c r="D19" s="0" t="s">
        <v>491</v>
      </c>
      <c r="E19" s="0" t="s">
        <v>516</v>
      </c>
      <c r="F19" s="5" t="s">
        <v>31</v>
      </c>
      <c r="G19" s="5"/>
      <c r="H19" s="5"/>
      <c r="I19" s="5" t="s">
        <v>493</v>
      </c>
      <c r="J19" s="5"/>
      <c r="K19" s="5"/>
      <c r="L19" s="5"/>
      <c r="M19" s="5"/>
      <c r="N19" s="5"/>
      <c r="O19" s="5"/>
      <c r="P19" s="5"/>
    </row>
    <row r="20" customFormat="false" ht="16.4" hidden="false" customHeight="false" outlineLevel="0" collapsed="false">
      <c r="A20" s="0" t="s">
        <v>124</v>
      </c>
      <c r="B20" s="5" t="s">
        <v>10</v>
      </c>
      <c r="C20" s="0" t="s">
        <v>490</v>
      </c>
      <c r="D20" s="0" t="s">
        <v>491</v>
      </c>
      <c r="E20" s="0" t="s">
        <v>517</v>
      </c>
      <c r="F20" s="5" t="s">
        <v>31</v>
      </c>
      <c r="G20" s="5"/>
      <c r="H20" s="5"/>
      <c r="I20" s="5" t="s">
        <v>493</v>
      </c>
      <c r="J20" s="5"/>
      <c r="K20" s="5"/>
      <c r="L20" s="5"/>
      <c r="M20" s="5"/>
      <c r="N20" s="5"/>
      <c r="O20" s="5"/>
      <c r="P20" s="5"/>
    </row>
    <row r="21" customFormat="false" ht="16.4" hidden="false" customHeight="false" outlineLevel="0" collapsed="false">
      <c r="A21" s="0" t="s">
        <v>126</v>
      </c>
      <c r="B21" s="5" t="s">
        <v>10</v>
      </c>
      <c r="C21" s="0" t="s">
        <v>490</v>
      </c>
      <c r="D21" s="0" t="s">
        <v>491</v>
      </c>
      <c r="E21" s="0" t="s">
        <v>517</v>
      </c>
      <c r="F21" s="5" t="s">
        <v>31</v>
      </c>
      <c r="G21" s="5"/>
      <c r="H21" s="5"/>
      <c r="I21" s="5" t="s">
        <v>493</v>
      </c>
      <c r="J21" s="5"/>
      <c r="K21" s="5"/>
      <c r="L21" s="5"/>
      <c r="M21" s="5"/>
      <c r="N21" s="5"/>
      <c r="O21" s="5"/>
      <c r="P21" s="5"/>
    </row>
    <row r="22" customFormat="false" ht="16.4" hidden="false" customHeight="false" outlineLevel="0" collapsed="false">
      <c r="A22" s="0" t="s">
        <v>128</v>
      </c>
      <c r="B22" s="5" t="s">
        <v>10</v>
      </c>
      <c r="C22" s="0" t="s">
        <v>518</v>
      </c>
      <c r="D22" s="0" t="s">
        <v>519</v>
      </c>
      <c r="E22" s="0" t="s">
        <v>520</v>
      </c>
      <c r="F22" s="5" t="s">
        <v>31</v>
      </c>
      <c r="G22" s="5"/>
      <c r="H22" s="5"/>
      <c r="I22" s="5" t="s">
        <v>493</v>
      </c>
      <c r="J22" s="5"/>
      <c r="K22" s="5"/>
      <c r="L22" s="5"/>
      <c r="M22" s="5"/>
      <c r="N22" s="5"/>
      <c r="O22" s="5"/>
      <c r="P22" s="5"/>
    </row>
    <row r="23" customFormat="false" ht="16.4" hidden="false" customHeight="false" outlineLevel="0" collapsed="false">
      <c r="A23" s="0" t="s">
        <v>135</v>
      </c>
      <c r="B23" s="5" t="s">
        <v>10</v>
      </c>
      <c r="C23" s="0" t="s">
        <v>490</v>
      </c>
      <c r="D23" s="0" t="s">
        <v>491</v>
      </c>
      <c r="E23" s="0" t="s">
        <v>521</v>
      </c>
      <c r="F23" s="5" t="s">
        <v>31</v>
      </c>
      <c r="G23" s="5"/>
      <c r="H23" s="5"/>
      <c r="I23" s="5" t="s">
        <v>493</v>
      </c>
      <c r="J23" s="5"/>
      <c r="K23" s="5"/>
      <c r="L23" s="5"/>
      <c r="M23" s="5"/>
      <c r="N23" s="5"/>
      <c r="O23" s="5"/>
      <c r="P23" s="5"/>
    </row>
    <row r="24" customFormat="false" ht="16.4" hidden="false" customHeight="false" outlineLevel="0" collapsed="false">
      <c r="A24" s="0" t="s">
        <v>135</v>
      </c>
      <c r="B24" s="5" t="s">
        <v>10</v>
      </c>
      <c r="C24" s="0" t="s">
        <v>522</v>
      </c>
      <c r="D24" s="0" t="s">
        <v>523</v>
      </c>
      <c r="E24" s="0" t="s">
        <v>524</v>
      </c>
      <c r="F24" s="5" t="s">
        <v>31</v>
      </c>
      <c r="G24" s="5"/>
      <c r="H24" s="5"/>
      <c r="I24" s="5" t="s">
        <v>493</v>
      </c>
      <c r="J24" s="5"/>
      <c r="K24" s="5"/>
      <c r="L24" s="5"/>
      <c r="M24" s="5"/>
      <c r="N24" s="5"/>
      <c r="O24" s="5"/>
      <c r="P24" s="5"/>
    </row>
    <row r="25" customFormat="false" ht="16.4" hidden="false" customHeight="false" outlineLevel="0" collapsed="false">
      <c r="A25" s="0" t="s">
        <v>135</v>
      </c>
      <c r="B25" s="5" t="s">
        <v>10</v>
      </c>
      <c r="C25" s="0" t="s">
        <v>518</v>
      </c>
      <c r="D25" s="0" t="s">
        <v>519</v>
      </c>
      <c r="E25" s="0" t="s">
        <v>525</v>
      </c>
      <c r="F25" s="5" t="s">
        <v>31</v>
      </c>
      <c r="G25" s="5"/>
      <c r="H25" s="5"/>
      <c r="I25" s="5" t="s">
        <v>493</v>
      </c>
      <c r="J25" s="5"/>
      <c r="K25" s="5"/>
      <c r="L25" s="5"/>
      <c r="M25" s="5"/>
      <c r="N25" s="5"/>
      <c r="O25" s="5"/>
      <c r="P25" s="5"/>
    </row>
    <row r="26" customFormat="false" ht="16.4" hidden="false" customHeight="false" outlineLevel="0" collapsed="false">
      <c r="A26" s="0" t="s">
        <v>139</v>
      </c>
      <c r="B26" s="5" t="s">
        <v>10</v>
      </c>
      <c r="C26" s="0" t="s">
        <v>490</v>
      </c>
      <c r="D26" s="0" t="s">
        <v>491</v>
      </c>
      <c r="E26" s="0" t="s">
        <v>526</v>
      </c>
      <c r="F26" s="5" t="s">
        <v>31</v>
      </c>
      <c r="G26" s="5"/>
      <c r="H26" s="5"/>
      <c r="I26" s="5" t="s">
        <v>493</v>
      </c>
      <c r="J26" s="5"/>
      <c r="K26" s="5"/>
      <c r="L26" s="5"/>
      <c r="M26" s="5"/>
      <c r="N26" s="5"/>
      <c r="O26" s="5"/>
      <c r="P26" s="5"/>
    </row>
    <row r="27" customFormat="false" ht="16.4" hidden="false" customHeight="false" outlineLevel="0" collapsed="false">
      <c r="A27" s="0" t="s">
        <v>139</v>
      </c>
      <c r="B27" s="5" t="s">
        <v>10</v>
      </c>
      <c r="C27" s="0" t="s">
        <v>522</v>
      </c>
      <c r="D27" s="0" t="s">
        <v>523</v>
      </c>
      <c r="E27" s="0" t="s">
        <v>527</v>
      </c>
      <c r="F27" s="5" t="s">
        <v>31</v>
      </c>
      <c r="G27" s="5"/>
      <c r="H27" s="5"/>
      <c r="I27" s="5" t="s">
        <v>493</v>
      </c>
      <c r="J27" s="5"/>
      <c r="K27" s="5"/>
      <c r="L27" s="5"/>
      <c r="M27" s="5"/>
      <c r="N27" s="5"/>
      <c r="O27" s="5"/>
      <c r="P27" s="5"/>
    </row>
    <row r="28" customFormat="false" ht="16.4" hidden="false" customHeight="false" outlineLevel="0" collapsed="false">
      <c r="A28" s="0" t="s">
        <v>139</v>
      </c>
      <c r="B28" s="5" t="s">
        <v>10</v>
      </c>
      <c r="C28" s="0" t="s">
        <v>518</v>
      </c>
      <c r="D28" s="0" t="s">
        <v>519</v>
      </c>
      <c r="E28" s="0" t="s">
        <v>528</v>
      </c>
      <c r="F28" s="5" t="s">
        <v>31</v>
      </c>
      <c r="G28" s="5"/>
      <c r="H28" s="5"/>
      <c r="I28" s="5" t="s">
        <v>493</v>
      </c>
      <c r="J28" s="5"/>
      <c r="K28" s="5"/>
      <c r="L28" s="5"/>
      <c r="M28" s="5"/>
      <c r="N28" s="5"/>
      <c r="O28" s="5"/>
      <c r="P28" s="5"/>
    </row>
    <row r="29" customFormat="false" ht="16.4" hidden="false" customHeight="false" outlineLevel="0" collapsed="false">
      <c r="A29" s="0" t="s">
        <v>143</v>
      </c>
      <c r="B29" s="5" t="s">
        <v>10</v>
      </c>
      <c r="C29" s="0" t="s">
        <v>490</v>
      </c>
      <c r="D29" s="0" t="s">
        <v>491</v>
      </c>
      <c r="E29" s="0" t="s">
        <v>529</v>
      </c>
      <c r="F29" s="5" t="s">
        <v>31</v>
      </c>
      <c r="G29" s="5"/>
      <c r="H29" s="5"/>
      <c r="I29" s="5" t="s">
        <v>493</v>
      </c>
      <c r="J29" s="5"/>
      <c r="K29" s="5"/>
      <c r="L29" s="5"/>
      <c r="M29" s="5"/>
      <c r="N29" s="5"/>
      <c r="O29" s="5"/>
      <c r="P29" s="5"/>
    </row>
    <row r="30" customFormat="false" ht="16.4" hidden="false" customHeight="false" outlineLevel="0" collapsed="false">
      <c r="A30" s="0" t="s">
        <v>143</v>
      </c>
      <c r="B30" s="5" t="s">
        <v>10</v>
      </c>
      <c r="C30" s="0" t="s">
        <v>522</v>
      </c>
      <c r="D30" s="0" t="s">
        <v>523</v>
      </c>
      <c r="E30" s="0" t="s">
        <v>530</v>
      </c>
      <c r="F30" s="5" t="s">
        <v>31</v>
      </c>
      <c r="G30" s="5"/>
      <c r="H30" s="5"/>
      <c r="I30" s="5" t="s">
        <v>493</v>
      </c>
      <c r="J30" s="5"/>
      <c r="K30" s="5"/>
      <c r="L30" s="5"/>
      <c r="M30" s="5"/>
      <c r="N30" s="5"/>
      <c r="O30" s="5"/>
      <c r="P30" s="5"/>
    </row>
    <row r="31" customFormat="false" ht="16.4" hidden="false" customHeight="false" outlineLevel="0" collapsed="false">
      <c r="A31" s="0" t="s">
        <v>143</v>
      </c>
      <c r="B31" s="5" t="s">
        <v>10</v>
      </c>
      <c r="C31" s="0" t="s">
        <v>518</v>
      </c>
      <c r="D31" s="0" t="s">
        <v>519</v>
      </c>
      <c r="E31" s="0" t="s">
        <v>531</v>
      </c>
      <c r="F31" s="5" t="s">
        <v>31</v>
      </c>
      <c r="G31" s="5"/>
      <c r="H31" s="5"/>
      <c r="I31" s="5" t="s">
        <v>493</v>
      </c>
      <c r="J31" s="5"/>
      <c r="K31" s="5"/>
      <c r="L31" s="5"/>
      <c r="M31" s="5"/>
      <c r="N31" s="5"/>
      <c r="O31" s="5"/>
      <c r="P31" s="5"/>
    </row>
    <row r="32" customFormat="false" ht="16.4" hidden="false" customHeight="false" outlineLevel="0" collapsed="false">
      <c r="A32" s="0" t="s">
        <v>146</v>
      </c>
      <c r="B32" s="5" t="s">
        <v>10</v>
      </c>
      <c r="C32" s="0" t="s">
        <v>490</v>
      </c>
      <c r="D32" s="0" t="s">
        <v>491</v>
      </c>
      <c r="E32" s="0" t="s">
        <v>532</v>
      </c>
      <c r="F32" s="5" t="s">
        <v>31</v>
      </c>
      <c r="G32" s="5"/>
      <c r="H32" s="5"/>
      <c r="I32" s="5" t="s">
        <v>493</v>
      </c>
      <c r="J32" s="5"/>
      <c r="K32" s="5"/>
      <c r="L32" s="5"/>
      <c r="M32" s="5"/>
      <c r="N32" s="5"/>
      <c r="O32" s="5"/>
      <c r="P32" s="5"/>
    </row>
    <row r="33" customFormat="false" ht="16.4" hidden="false" customHeight="false" outlineLevel="0" collapsed="false">
      <c r="A33" s="0" t="s">
        <v>146</v>
      </c>
      <c r="B33" s="5" t="s">
        <v>10</v>
      </c>
      <c r="C33" s="0" t="s">
        <v>522</v>
      </c>
      <c r="D33" s="0" t="s">
        <v>523</v>
      </c>
      <c r="E33" s="0" t="s">
        <v>533</v>
      </c>
      <c r="F33" s="5" t="s">
        <v>31</v>
      </c>
      <c r="G33" s="5"/>
      <c r="H33" s="5"/>
      <c r="I33" s="5" t="s">
        <v>493</v>
      </c>
      <c r="J33" s="5"/>
      <c r="K33" s="5"/>
      <c r="L33" s="5"/>
      <c r="M33" s="5"/>
      <c r="N33" s="5"/>
      <c r="O33" s="5"/>
      <c r="P33" s="5"/>
    </row>
    <row r="34" customFormat="false" ht="16.4" hidden="false" customHeight="false" outlineLevel="0" collapsed="false">
      <c r="A34" s="0" t="s">
        <v>146</v>
      </c>
      <c r="B34" s="5" t="s">
        <v>10</v>
      </c>
      <c r="C34" s="0" t="s">
        <v>518</v>
      </c>
      <c r="D34" s="0" t="s">
        <v>519</v>
      </c>
      <c r="E34" s="0" t="s">
        <v>534</v>
      </c>
      <c r="F34" s="5" t="s">
        <v>31</v>
      </c>
      <c r="G34" s="5"/>
      <c r="H34" s="5"/>
      <c r="I34" s="5" t="s">
        <v>493</v>
      </c>
      <c r="J34" s="5"/>
      <c r="K34" s="5"/>
      <c r="L34" s="5"/>
      <c r="M34" s="5"/>
      <c r="N34" s="5"/>
      <c r="O34" s="5"/>
      <c r="P34" s="5"/>
    </row>
    <row r="35" customFormat="false" ht="16.4" hidden="false" customHeight="false" outlineLevel="0" collapsed="false">
      <c r="A35" s="0" t="s">
        <v>149</v>
      </c>
      <c r="B35" s="5" t="s">
        <v>10</v>
      </c>
      <c r="C35" s="0" t="s">
        <v>490</v>
      </c>
      <c r="D35" s="0" t="s">
        <v>491</v>
      </c>
      <c r="E35" s="0" t="s">
        <v>535</v>
      </c>
      <c r="F35" s="5" t="s">
        <v>31</v>
      </c>
      <c r="G35" s="5"/>
      <c r="H35" s="5"/>
      <c r="I35" s="5" t="s">
        <v>493</v>
      </c>
      <c r="J35" s="5"/>
      <c r="K35" s="5"/>
      <c r="L35" s="5"/>
      <c r="M35" s="5"/>
      <c r="N35" s="5"/>
      <c r="O35" s="5"/>
      <c r="P35" s="5"/>
    </row>
    <row r="36" customFormat="false" ht="16.4" hidden="false" customHeight="false" outlineLevel="0" collapsed="false">
      <c r="A36" s="0" t="s">
        <v>149</v>
      </c>
      <c r="B36" s="5" t="s">
        <v>10</v>
      </c>
      <c r="C36" s="0" t="s">
        <v>522</v>
      </c>
      <c r="D36" s="0" t="s">
        <v>523</v>
      </c>
      <c r="E36" s="0" t="s">
        <v>536</v>
      </c>
      <c r="F36" s="5" t="s">
        <v>31</v>
      </c>
      <c r="G36" s="5"/>
      <c r="H36" s="5"/>
      <c r="I36" s="5" t="s">
        <v>493</v>
      </c>
      <c r="J36" s="5"/>
      <c r="K36" s="5"/>
      <c r="L36" s="5"/>
      <c r="M36" s="5"/>
      <c r="N36" s="5"/>
      <c r="O36" s="5"/>
      <c r="P36" s="5"/>
    </row>
    <row r="37" customFormat="false" ht="16.4" hidden="false" customHeight="false" outlineLevel="0" collapsed="false">
      <c r="A37" s="0" t="s">
        <v>149</v>
      </c>
      <c r="B37" s="5" t="s">
        <v>10</v>
      </c>
      <c r="C37" s="0" t="s">
        <v>518</v>
      </c>
      <c r="D37" s="0" t="s">
        <v>519</v>
      </c>
      <c r="E37" s="0" t="s">
        <v>537</v>
      </c>
      <c r="F37" s="5" t="s">
        <v>31</v>
      </c>
      <c r="G37" s="5"/>
      <c r="H37" s="5"/>
      <c r="I37" s="5" t="s">
        <v>493</v>
      </c>
      <c r="J37" s="5"/>
      <c r="K37" s="5"/>
      <c r="L37" s="5"/>
      <c r="M37" s="5"/>
      <c r="N37" s="5"/>
      <c r="O37" s="5"/>
      <c r="P37" s="5"/>
    </row>
    <row r="38" customFormat="false" ht="16.4" hidden="false" customHeight="false" outlineLevel="0" collapsed="false">
      <c r="A38" s="0" t="s">
        <v>157</v>
      </c>
      <c r="B38" s="5" t="s">
        <v>10</v>
      </c>
      <c r="C38" s="0" t="s">
        <v>538</v>
      </c>
      <c r="D38" s="0" t="s">
        <v>539</v>
      </c>
      <c r="E38" s="0" t="s">
        <v>540</v>
      </c>
      <c r="F38" s="5" t="s">
        <v>31</v>
      </c>
      <c r="G38" s="5"/>
      <c r="H38" s="5"/>
      <c r="I38" s="5" t="s">
        <v>493</v>
      </c>
      <c r="J38" s="5"/>
      <c r="K38" s="5"/>
      <c r="L38" s="5"/>
      <c r="M38" s="5"/>
      <c r="N38" s="5"/>
      <c r="O38" s="5"/>
      <c r="P38" s="5"/>
    </row>
    <row r="39" customFormat="false" ht="16.4" hidden="false" customHeight="false" outlineLevel="0" collapsed="false">
      <c r="A39" s="0" t="s">
        <v>157</v>
      </c>
      <c r="B39" s="5" t="s">
        <v>10</v>
      </c>
      <c r="C39" s="0" t="s">
        <v>541</v>
      </c>
      <c r="D39" s="0" t="s">
        <v>542</v>
      </c>
      <c r="E39" s="0" t="s">
        <v>543</v>
      </c>
      <c r="F39" s="5" t="s">
        <v>31</v>
      </c>
      <c r="G39" s="5"/>
      <c r="H39" s="5"/>
      <c r="I39" s="5" t="s">
        <v>493</v>
      </c>
      <c r="J39" s="5"/>
      <c r="K39" s="5"/>
      <c r="L39" s="5"/>
      <c r="M39" s="5"/>
      <c r="N39" s="5"/>
      <c r="O39" s="5"/>
      <c r="P39" s="5"/>
    </row>
    <row r="40" customFormat="false" ht="16.4" hidden="false" customHeight="false" outlineLevel="0" collapsed="false">
      <c r="A40" s="0" t="s">
        <v>163</v>
      </c>
      <c r="B40" s="5" t="s">
        <v>10</v>
      </c>
      <c r="C40" s="0" t="s">
        <v>538</v>
      </c>
      <c r="D40" s="0" t="s">
        <v>539</v>
      </c>
      <c r="E40" s="0" t="s">
        <v>544</v>
      </c>
      <c r="F40" s="5" t="s">
        <v>31</v>
      </c>
      <c r="G40" s="5"/>
      <c r="H40" s="5"/>
      <c r="I40" s="5" t="s">
        <v>493</v>
      </c>
      <c r="J40" s="5"/>
      <c r="K40" s="5"/>
      <c r="L40" s="5"/>
      <c r="M40" s="5"/>
      <c r="N40" s="5"/>
      <c r="O40" s="5"/>
      <c r="P40" s="5"/>
    </row>
    <row r="41" customFormat="false" ht="16.4" hidden="false" customHeight="false" outlineLevel="0" collapsed="false">
      <c r="A41" s="0" t="s">
        <v>163</v>
      </c>
      <c r="B41" s="5" t="s">
        <v>10</v>
      </c>
      <c r="C41" s="0" t="s">
        <v>541</v>
      </c>
      <c r="D41" s="0" t="s">
        <v>542</v>
      </c>
      <c r="E41" s="0" t="s">
        <v>545</v>
      </c>
      <c r="F41" s="5" t="s">
        <v>31</v>
      </c>
      <c r="G41" s="5"/>
      <c r="H41" s="5"/>
      <c r="I41" s="5" t="s">
        <v>493</v>
      </c>
      <c r="J41" s="5"/>
      <c r="K41" s="5"/>
      <c r="L41" s="5"/>
      <c r="M41" s="5"/>
      <c r="N41" s="5"/>
      <c r="O41" s="5"/>
      <c r="P41" s="5"/>
    </row>
    <row r="42" customFormat="false" ht="16.4" hidden="false" customHeight="false" outlineLevel="0" collapsed="false">
      <c r="A42" s="0" t="s">
        <v>165</v>
      </c>
      <c r="B42" s="5" t="s">
        <v>10</v>
      </c>
      <c r="C42" s="0" t="s">
        <v>538</v>
      </c>
      <c r="D42" s="0" t="s">
        <v>539</v>
      </c>
      <c r="E42" s="0" t="s">
        <v>546</v>
      </c>
      <c r="F42" s="5" t="s">
        <v>31</v>
      </c>
      <c r="G42" s="5"/>
      <c r="H42" s="5"/>
      <c r="I42" s="5" t="s">
        <v>493</v>
      </c>
      <c r="J42" s="5"/>
      <c r="K42" s="5"/>
      <c r="L42" s="5"/>
      <c r="M42" s="5"/>
      <c r="N42" s="5"/>
      <c r="O42" s="5"/>
      <c r="P42" s="5"/>
    </row>
    <row r="43" customFormat="false" ht="16.4" hidden="false" customHeight="false" outlineLevel="0" collapsed="false">
      <c r="A43" s="0" t="s">
        <v>165</v>
      </c>
      <c r="B43" s="5" t="s">
        <v>10</v>
      </c>
      <c r="C43" s="0" t="s">
        <v>541</v>
      </c>
      <c r="D43" s="0" t="s">
        <v>542</v>
      </c>
      <c r="E43" s="0" t="s">
        <v>547</v>
      </c>
      <c r="F43" s="5" t="s">
        <v>31</v>
      </c>
      <c r="G43" s="5"/>
      <c r="H43" s="5"/>
      <c r="I43" s="5" t="s">
        <v>493</v>
      </c>
      <c r="J43" s="5"/>
      <c r="K43" s="5"/>
      <c r="L43" s="5"/>
      <c r="M43" s="5"/>
      <c r="N43" s="5"/>
      <c r="O43" s="5"/>
      <c r="P43" s="5"/>
    </row>
    <row r="44" customFormat="false" ht="16.4" hidden="false" customHeight="false" outlineLevel="0" collapsed="false">
      <c r="A44" s="0" t="s">
        <v>168</v>
      </c>
      <c r="B44" s="5" t="s">
        <v>10</v>
      </c>
      <c r="C44" s="0" t="s">
        <v>538</v>
      </c>
      <c r="D44" s="0" t="s">
        <v>539</v>
      </c>
      <c r="E44" s="0" t="s">
        <v>548</v>
      </c>
      <c r="F44" s="5" t="s">
        <v>31</v>
      </c>
      <c r="G44" s="5"/>
      <c r="H44" s="5"/>
      <c r="I44" s="5" t="s">
        <v>493</v>
      </c>
      <c r="J44" s="5"/>
      <c r="K44" s="5"/>
      <c r="L44" s="5"/>
      <c r="M44" s="5"/>
      <c r="N44" s="5"/>
      <c r="O44" s="5"/>
      <c r="P44" s="5"/>
    </row>
    <row r="45" customFormat="false" ht="16.4" hidden="false" customHeight="false" outlineLevel="0" collapsed="false">
      <c r="A45" s="0" t="s">
        <v>168</v>
      </c>
      <c r="B45" s="5" t="s">
        <v>10</v>
      </c>
      <c r="C45" s="0" t="s">
        <v>541</v>
      </c>
      <c r="D45" s="0" t="s">
        <v>542</v>
      </c>
      <c r="E45" s="0" t="s">
        <v>549</v>
      </c>
      <c r="F45" s="5" t="s">
        <v>31</v>
      </c>
      <c r="G45" s="5"/>
      <c r="H45" s="5"/>
      <c r="I45" s="5" t="s">
        <v>493</v>
      </c>
      <c r="J45" s="5"/>
      <c r="K45" s="5"/>
      <c r="L45" s="5"/>
      <c r="M45" s="5"/>
      <c r="N45" s="5"/>
      <c r="O45" s="5"/>
      <c r="P45" s="5"/>
    </row>
    <row r="46" customFormat="false" ht="16.4" hidden="false" customHeight="false" outlineLevel="0" collapsed="false">
      <c r="A46" s="0" t="s">
        <v>171</v>
      </c>
      <c r="B46" s="5" t="s">
        <v>10</v>
      </c>
      <c r="C46" s="0" t="s">
        <v>538</v>
      </c>
      <c r="D46" s="0" t="s">
        <v>539</v>
      </c>
      <c r="E46" s="0" t="s">
        <v>550</v>
      </c>
      <c r="F46" s="5" t="s">
        <v>31</v>
      </c>
      <c r="G46" s="5"/>
      <c r="H46" s="5"/>
      <c r="I46" s="5" t="s">
        <v>493</v>
      </c>
      <c r="J46" s="5"/>
      <c r="K46" s="5"/>
      <c r="L46" s="5"/>
      <c r="M46" s="5"/>
      <c r="N46" s="5"/>
      <c r="O46" s="5"/>
      <c r="P46" s="5"/>
    </row>
    <row r="47" customFormat="false" ht="16.4" hidden="false" customHeight="false" outlineLevel="0" collapsed="false">
      <c r="A47" s="0" t="s">
        <v>171</v>
      </c>
      <c r="B47" s="5" t="s">
        <v>10</v>
      </c>
      <c r="C47" s="0" t="s">
        <v>541</v>
      </c>
      <c r="D47" s="0" t="s">
        <v>542</v>
      </c>
      <c r="E47" s="0" t="s">
        <v>551</v>
      </c>
      <c r="F47" s="5" t="s">
        <v>31</v>
      </c>
      <c r="G47" s="5"/>
      <c r="H47" s="5"/>
      <c r="I47" s="5" t="s">
        <v>493</v>
      </c>
      <c r="J47" s="5"/>
      <c r="K47" s="5"/>
      <c r="L47" s="5"/>
      <c r="M47" s="5"/>
      <c r="N47" s="5"/>
      <c r="O47" s="5"/>
      <c r="P47" s="5"/>
    </row>
    <row r="48" customFormat="false" ht="16.4" hidden="false" customHeight="false" outlineLevel="0" collapsed="false">
      <c r="A48" s="0" t="s">
        <v>173</v>
      </c>
      <c r="B48" s="5" t="s">
        <v>10</v>
      </c>
      <c r="C48" s="0" t="s">
        <v>538</v>
      </c>
      <c r="D48" s="0" t="s">
        <v>539</v>
      </c>
      <c r="E48" s="0" t="s">
        <v>552</v>
      </c>
      <c r="F48" s="5" t="s">
        <v>31</v>
      </c>
      <c r="G48" s="5"/>
      <c r="H48" s="5"/>
      <c r="I48" s="5" t="s">
        <v>493</v>
      </c>
      <c r="J48" s="5"/>
      <c r="K48" s="5"/>
      <c r="L48" s="5"/>
      <c r="M48" s="5"/>
      <c r="N48" s="5"/>
      <c r="O48" s="5"/>
      <c r="P48" s="5"/>
    </row>
    <row r="49" customFormat="false" ht="16.4" hidden="false" customHeight="false" outlineLevel="0" collapsed="false">
      <c r="A49" s="0" t="s">
        <v>173</v>
      </c>
      <c r="B49" s="5" t="s">
        <v>10</v>
      </c>
      <c r="C49" s="0" t="s">
        <v>541</v>
      </c>
      <c r="D49" s="0" t="s">
        <v>542</v>
      </c>
      <c r="E49" s="0" t="s">
        <v>553</v>
      </c>
      <c r="F49" s="5" t="s">
        <v>31</v>
      </c>
      <c r="G49" s="5"/>
      <c r="H49" s="5"/>
      <c r="I49" s="5" t="s">
        <v>493</v>
      </c>
      <c r="J49" s="5"/>
      <c r="K49" s="5"/>
      <c r="L49" s="5"/>
      <c r="M49" s="5"/>
      <c r="N49" s="5"/>
      <c r="O49" s="5"/>
      <c r="P49" s="5"/>
    </row>
    <row r="50" customFormat="false" ht="16.4" hidden="false" customHeight="false" outlineLevel="0" collapsed="false">
      <c r="A50" s="0" t="s">
        <v>176</v>
      </c>
      <c r="B50" s="5" t="s">
        <v>10</v>
      </c>
      <c r="C50" s="0" t="s">
        <v>490</v>
      </c>
      <c r="D50" s="0" t="s">
        <v>491</v>
      </c>
      <c r="E50" s="0" t="s">
        <v>554</v>
      </c>
      <c r="F50" s="5" t="s">
        <v>31</v>
      </c>
      <c r="G50" s="5"/>
      <c r="H50" s="5"/>
      <c r="I50" s="5" t="s">
        <v>493</v>
      </c>
      <c r="J50" s="5"/>
      <c r="K50" s="5"/>
      <c r="L50" s="5"/>
      <c r="M50" s="5"/>
      <c r="N50" s="5"/>
      <c r="O50" s="5"/>
      <c r="P50" s="5"/>
    </row>
    <row r="51" customFormat="false" ht="16.4" hidden="false" customHeight="false" outlineLevel="0" collapsed="false">
      <c r="A51" s="0" t="s">
        <v>176</v>
      </c>
      <c r="B51" s="5" t="s">
        <v>10</v>
      </c>
      <c r="C51" s="0" t="s">
        <v>522</v>
      </c>
      <c r="D51" s="0" t="s">
        <v>523</v>
      </c>
      <c r="E51" s="0" t="s">
        <v>555</v>
      </c>
      <c r="F51" s="5" t="s">
        <v>31</v>
      </c>
      <c r="G51" s="5"/>
      <c r="H51" s="5"/>
      <c r="I51" s="5" t="s">
        <v>493</v>
      </c>
      <c r="J51" s="5"/>
      <c r="K51" s="5"/>
      <c r="L51" s="5"/>
      <c r="M51" s="5"/>
      <c r="N51" s="5"/>
      <c r="O51" s="5"/>
      <c r="P51" s="5"/>
    </row>
    <row r="52" customFormat="false" ht="16.4" hidden="false" customHeight="false" outlineLevel="0" collapsed="false">
      <c r="A52" s="0" t="s">
        <v>176</v>
      </c>
      <c r="B52" s="5" t="s">
        <v>10</v>
      </c>
      <c r="C52" s="0" t="s">
        <v>518</v>
      </c>
      <c r="D52" s="0" t="s">
        <v>519</v>
      </c>
      <c r="E52" s="0" t="s">
        <v>556</v>
      </c>
      <c r="F52" s="5" t="s">
        <v>31</v>
      </c>
      <c r="G52" s="5"/>
      <c r="H52" s="5"/>
      <c r="I52" s="5" t="s">
        <v>493</v>
      </c>
      <c r="J52" s="5"/>
      <c r="K52" s="5"/>
      <c r="L52" s="5"/>
      <c r="M52" s="5"/>
      <c r="N52" s="5"/>
      <c r="O52" s="5"/>
      <c r="P52" s="5"/>
    </row>
    <row r="53" customFormat="false" ht="16.4" hidden="false" customHeight="false" outlineLevel="0" collapsed="false">
      <c r="A53" s="0" t="s">
        <v>176</v>
      </c>
      <c r="B53" s="5" t="s">
        <v>10</v>
      </c>
      <c r="C53" s="0" t="s">
        <v>541</v>
      </c>
      <c r="D53" s="0" t="s">
        <v>542</v>
      </c>
      <c r="E53" s="0" t="s">
        <v>536</v>
      </c>
      <c r="F53" s="5" t="s">
        <v>31</v>
      </c>
      <c r="G53" s="5"/>
      <c r="H53" s="5"/>
      <c r="I53" s="5" t="s">
        <v>493</v>
      </c>
      <c r="J53" s="5"/>
      <c r="K53" s="5"/>
      <c r="L53" s="5"/>
      <c r="M53" s="5"/>
      <c r="N53" s="5"/>
      <c r="O53" s="5"/>
      <c r="P53" s="5"/>
    </row>
    <row r="54" customFormat="false" ht="16.4" hidden="false" customHeight="false" outlineLevel="0" collapsed="false">
      <c r="A54" s="0" t="s">
        <v>180</v>
      </c>
      <c r="B54" s="5" t="s">
        <v>10</v>
      </c>
      <c r="C54" s="0" t="s">
        <v>490</v>
      </c>
      <c r="D54" s="0" t="s">
        <v>491</v>
      </c>
      <c r="E54" s="0" t="s">
        <v>557</v>
      </c>
      <c r="F54" s="5" t="s">
        <v>31</v>
      </c>
      <c r="G54" s="5"/>
      <c r="H54" s="5"/>
      <c r="I54" s="5" t="s">
        <v>493</v>
      </c>
      <c r="J54" s="5"/>
      <c r="K54" s="5"/>
      <c r="L54" s="5"/>
      <c r="M54" s="5"/>
      <c r="N54" s="5"/>
      <c r="O54" s="5"/>
      <c r="P54" s="5"/>
    </row>
    <row r="55" customFormat="false" ht="16.4" hidden="false" customHeight="false" outlineLevel="0" collapsed="false">
      <c r="A55" s="0" t="s">
        <v>180</v>
      </c>
      <c r="B55" s="5" t="s">
        <v>10</v>
      </c>
      <c r="C55" s="0" t="s">
        <v>522</v>
      </c>
      <c r="D55" s="0" t="s">
        <v>523</v>
      </c>
      <c r="E55" s="0" t="s">
        <v>555</v>
      </c>
      <c r="F55" s="5" t="s">
        <v>31</v>
      </c>
      <c r="G55" s="5"/>
      <c r="H55" s="5"/>
      <c r="I55" s="5" t="s">
        <v>493</v>
      </c>
      <c r="J55" s="5"/>
      <c r="K55" s="5"/>
      <c r="L55" s="5"/>
      <c r="M55" s="5"/>
      <c r="N55" s="5"/>
      <c r="O55" s="5"/>
      <c r="P55" s="5"/>
    </row>
    <row r="56" customFormat="false" ht="16.4" hidden="false" customHeight="false" outlineLevel="0" collapsed="false">
      <c r="A56" s="0" t="s">
        <v>180</v>
      </c>
      <c r="B56" s="5" t="s">
        <v>10</v>
      </c>
      <c r="C56" s="0" t="s">
        <v>518</v>
      </c>
      <c r="D56" s="0" t="s">
        <v>519</v>
      </c>
      <c r="E56" s="0" t="s">
        <v>556</v>
      </c>
      <c r="F56" s="5" t="s">
        <v>31</v>
      </c>
      <c r="G56" s="5"/>
      <c r="H56" s="5"/>
      <c r="I56" s="5" t="s">
        <v>493</v>
      </c>
      <c r="J56" s="5"/>
      <c r="K56" s="5"/>
      <c r="L56" s="5"/>
      <c r="M56" s="5"/>
      <c r="N56" s="5"/>
      <c r="O56" s="5"/>
      <c r="P56" s="5"/>
    </row>
    <row r="57" customFormat="false" ht="16.4" hidden="false" customHeight="false" outlineLevel="0" collapsed="false">
      <c r="A57" s="0" t="s">
        <v>180</v>
      </c>
      <c r="B57" s="5" t="s">
        <v>10</v>
      </c>
      <c r="C57" s="0" t="s">
        <v>541</v>
      </c>
      <c r="D57" s="0" t="s">
        <v>542</v>
      </c>
      <c r="E57" s="0" t="s">
        <v>536</v>
      </c>
      <c r="F57" s="5" t="s">
        <v>31</v>
      </c>
      <c r="G57" s="5"/>
      <c r="H57" s="5"/>
      <c r="I57" s="5" t="s">
        <v>493</v>
      </c>
      <c r="J57" s="5"/>
      <c r="K57" s="5"/>
      <c r="L57" s="5"/>
      <c r="M57" s="5"/>
      <c r="N57" s="5"/>
      <c r="O57" s="5"/>
      <c r="P57" s="5"/>
    </row>
    <row r="58" customFormat="false" ht="16.4" hidden="false" customHeight="false" outlineLevel="0" collapsed="false">
      <c r="A58" s="0" t="s">
        <v>181</v>
      </c>
      <c r="B58" s="5" t="s">
        <v>10</v>
      </c>
      <c r="C58" s="0" t="s">
        <v>490</v>
      </c>
      <c r="D58" s="0" t="s">
        <v>491</v>
      </c>
      <c r="E58" s="0" t="s">
        <v>554</v>
      </c>
      <c r="F58" s="5" t="s">
        <v>31</v>
      </c>
      <c r="G58" s="5"/>
      <c r="H58" s="5"/>
      <c r="I58" s="5" t="s">
        <v>493</v>
      </c>
      <c r="J58" s="5"/>
      <c r="K58" s="5"/>
      <c r="L58" s="5"/>
      <c r="M58" s="5"/>
      <c r="N58" s="5"/>
      <c r="O58" s="5"/>
      <c r="P58" s="5"/>
    </row>
    <row r="59" customFormat="false" ht="16.4" hidden="false" customHeight="false" outlineLevel="0" collapsed="false">
      <c r="A59" s="0" t="s">
        <v>181</v>
      </c>
      <c r="B59" s="5" t="s">
        <v>10</v>
      </c>
      <c r="C59" s="0" t="s">
        <v>522</v>
      </c>
      <c r="D59" s="0" t="s">
        <v>523</v>
      </c>
      <c r="E59" s="0" t="s">
        <v>555</v>
      </c>
      <c r="F59" s="5" t="s">
        <v>31</v>
      </c>
      <c r="G59" s="5"/>
      <c r="H59" s="5"/>
      <c r="I59" s="5" t="s">
        <v>493</v>
      </c>
      <c r="J59" s="5"/>
      <c r="K59" s="5"/>
      <c r="L59" s="5"/>
      <c r="M59" s="5"/>
      <c r="N59" s="5"/>
      <c r="O59" s="5"/>
      <c r="P59" s="5"/>
    </row>
    <row r="60" customFormat="false" ht="16.4" hidden="false" customHeight="false" outlineLevel="0" collapsed="false">
      <c r="A60" s="0" t="s">
        <v>181</v>
      </c>
      <c r="B60" s="5" t="s">
        <v>10</v>
      </c>
      <c r="C60" s="0" t="s">
        <v>518</v>
      </c>
      <c r="D60" s="0" t="s">
        <v>519</v>
      </c>
      <c r="E60" s="0" t="s">
        <v>556</v>
      </c>
      <c r="F60" s="5" t="s">
        <v>31</v>
      </c>
      <c r="G60" s="5"/>
      <c r="H60" s="5"/>
      <c r="I60" s="5" t="s">
        <v>493</v>
      </c>
      <c r="J60" s="5"/>
      <c r="K60" s="5"/>
      <c r="L60" s="5"/>
      <c r="M60" s="5"/>
      <c r="N60" s="5"/>
      <c r="O60" s="5"/>
      <c r="P60" s="5"/>
    </row>
    <row r="61" customFormat="false" ht="16.4" hidden="false" customHeight="false" outlineLevel="0" collapsed="false">
      <c r="A61" s="0" t="s">
        <v>185</v>
      </c>
      <c r="B61" s="5" t="s">
        <v>10</v>
      </c>
      <c r="C61" s="0" t="s">
        <v>490</v>
      </c>
      <c r="D61" s="0" t="s">
        <v>491</v>
      </c>
      <c r="E61" s="0" t="s">
        <v>557</v>
      </c>
      <c r="F61" s="5" t="s">
        <v>31</v>
      </c>
      <c r="G61" s="5"/>
      <c r="H61" s="5"/>
      <c r="I61" s="5" t="s">
        <v>493</v>
      </c>
      <c r="J61" s="5"/>
      <c r="K61" s="5"/>
      <c r="L61" s="5"/>
      <c r="M61" s="5"/>
      <c r="N61" s="5"/>
      <c r="O61" s="5"/>
      <c r="P61" s="5"/>
    </row>
    <row r="62" customFormat="false" ht="16.4" hidden="false" customHeight="false" outlineLevel="0" collapsed="false">
      <c r="A62" s="0" t="s">
        <v>185</v>
      </c>
      <c r="B62" s="5" t="s">
        <v>10</v>
      </c>
      <c r="C62" s="0" t="s">
        <v>522</v>
      </c>
      <c r="D62" s="0" t="s">
        <v>523</v>
      </c>
      <c r="E62" s="0" t="s">
        <v>555</v>
      </c>
      <c r="F62" s="5" t="s">
        <v>31</v>
      </c>
      <c r="G62" s="5"/>
      <c r="H62" s="5"/>
      <c r="I62" s="5" t="s">
        <v>493</v>
      </c>
      <c r="J62" s="5"/>
      <c r="K62" s="5"/>
      <c r="L62" s="5"/>
      <c r="M62" s="5"/>
      <c r="N62" s="5"/>
      <c r="O62" s="5"/>
      <c r="P62" s="5"/>
    </row>
    <row r="63" customFormat="false" ht="16.4" hidden="false" customHeight="false" outlineLevel="0" collapsed="false">
      <c r="A63" s="0" t="s">
        <v>185</v>
      </c>
      <c r="B63" s="5" t="s">
        <v>10</v>
      </c>
      <c r="C63" s="0" t="s">
        <v>518</v>
      </c>
      <c r="D63" s="0" t="s">
        <v>519</v>
      </c>
      <c r="E63" s="0" t="s">
        <v>556</v>
      </c>
      <c r="F63" s="5" t="s">
        <v>31</v>
      </c>
      <c r="G63" s="5"/>
      <c r="H63" s="5"/>
      <c r="I63" s="5" t="s">
        <v>493</v>
      </c>
      <c r="J63" s="5"/>
      <c r="K63" s="5"/>
      <c r="L63" s="5"/>
      <c r="M63" s="5"/>
      <c r="N63" s="5"/>
      <c r="O63" s="5"/>
      <c r="P63" s="5"/>
    </row>
    <row r="64" customFormat="false" ht="16.4" hidden="false" customHeight="false" outlineLevel="0" collapsed="false">
      <c r="A64" s="0" t="s">
        <v>195</v>
      </c>
      <c r="B64" s="5" t="s">
        <v>10</v>
      </c>
      <c r="C64" s="0" t="s">
        <v>490</v>
      </c>
      <c r="D64" s="0" t="s">
        <v>491</v>
      </c>
      <c r="E64" s="0" t="s">
        <v>558</v>
      </c>
      <c r="F64" s="5" t="s">
        <v>31</v>
      </c>
      <c r="G64" s="5"/>
      <c r="H64" s="5"/>
      <c r="I64" s="5" t="s">
        <v>493</v>
      </c>
      <c r="J64" s="5"/>
      <c r="K64" s="5"/>
      <c r="L64" s="5"/>
      <c r="M64" s="5"/>
      <c r="N64" s="5"/>
      <c r="O64" s="5"/>
      <c r="P64" s="5"/>
    </row>
    <row r="65" customFormat="false" ht="16.4" hidden="false" customHeight="false" outlineLevel="0" collapsed="false">
      <c r="A65" s="0" t="s">
        <v>195</v>
      </c>
      <c r="B65" s="5" t="s">
        <v>10</v>
      </c>
      <c r="C65" s="0" t="s">
        <v>522</v>
      </c>
      <c r="D65" s="0" t="s">
        <v>523</v>
      </c>
      <c r="E65" s="0" t="s">
        <v>559</v>
      </c>
      <c r="F65" s="5" t="s">
        <v>31</v>
      </c>
      <c r="G65" s="5"/>
      <c r="H65" s="5"/>
      <c r="I65" s="5" t="s">
        <v>493</v>
      </c>
      <c r="J65" s="5"/>
      <c r="K65" s="5"/>
      <c r="L65" s="5"/>
      <c r="M65" s="5"/>
      <c r="N65" s="5"/>
      <c r="O65" s="5"/>
      <c r="P65" s="5"/>
    </row>
    <row r="66" customFormat="false" ht="16.4" hidden="false" customHeight="false" outlineLevel="0" collapsed="false">
      <c r="A66" s="0" t="s">
        <v>195</v>
      </c>
      <c r="B66" s="5" t="s">
        <v>10</v>
      </c>
      <c r="C66" s="0" t="s">
        <v>518</v>
      </c>
      <c r="D66" s="0" t="s">
        <v>519</v>
      </c>
      <c r="E66" s="0" t="s">
        <v>560</v>
      </c>
      <c r="F66" s="5" t="s">
        <v>31</v>
      </c>
      <c r="G66" s="5"/>
      <c r="H66" s="5"/>
      <c r="I66" s="5" t="s">
        <v>493</v>
      </c>
      <c r="J66" s="5"/>
      <c r="K66" s="5"/>
      <c r="L66" s="5"/>
      <c r="M66" s="5"/>
      <c r="N66" s="5"/>
      <c r="O66" s="5"/>
      <c r="P66" s="5"/>
    </row>
    <row r="67" customFormat="false" ht="16.4" hidden="false" customHeight="false" outlineLevel="0" collapsed="false">
      <c r="A67" s="0" t="s">
        <v>195</v>
      </c>
      <c r="B67" s="5" t="s">
        <v>10</v>
      </c>
      <c r="C67" s="0" t="s">
        <v>538</v>
      </c>
      <c r="D67" s="0" t="s">
        <v>539</v>
      </c>
      <c r="E67" s="0" t="s">
        <v>561</v>
      </c>
      <c r="F67" s="5" t="s">
        <v>31</v>
      </c>
      <c r="G67" s="5"/>
      <c r="H67" s="5"/>
      <c r="I67" s="5" t="s">
        <v>493</v>
      </c>
      <c r="J67" s="5"/>
      <c r="K67" s="5"/>
      <c r="L67" s="5"/>
      <c r="M67" s="5"/>
      <c r="N67" s="5"/>
      <c r="O67" s="5"/>
      <c r="P67" s="5"/>
    </row>
    <row r="68" customFormat="false" ht="16.4" hidden="false" customHeight="false" outlineLevel="0" collapsed="false">
      <c r="A68" s="0" t="s">
        <v>195</v>
      </c>
      <c r="B68" s="5" t="s">
        <v>10</v>
      </c>
      <c r="C68" s="0" t="s">
        <v>541</v>
      </c>
      <c r="D68" s="0" t="s">
        <v>542</v>
      </c>
      <c r="E68" s="0" t="s">
        <v>562</v>
      </c>
      <c r="F68" s="5" t="s">
        <v>31</v>
      </c>
      <c r="G68" s="5"/>
      <c r="H68" s="5"/>
      <c r="I68" s="5" t="s">
        <v>493</v>
      </c>
      <c r="J68" s="5"/>
      <c r="K68" s="5"/>
      <c r="L68" s="5"/>
      <c r="M68" s="5"/>
      <c r="N68" s="5"/>
      <c r="O68" s="5"/>
      <c r="P68" s="5"/>
    </row>
    <row r="69" customFormat="false" ht="16.4" hidden="false" customHeight="false" outlineLevel="0" collapsed="false">
      <c r="A69" s="0" t="s">
        <v>199</v>
      </c>
      <c r="B69" s="5" t="s">
        <v>10</v>
      </c>
      <c r="C69" s="0" t="s">
        <v>490</v>
      </c>
      <c r="D69" s="0" t="s">
        <v>491</v>
      </c>
      <c r="E69" s="0" t="s">
        <v>563</v>
      </c>
      <c r="F69" s="5" t="s">
        <v>31</v>
      </c>
      <c r="G69" s="5"/>
      <c r="H69" s="5"/>
      <c r="I69" s="5" t="s">
        <v>493</v>
      </c>
      <c r="J69" s="5"/>
      <c r="K69" s="5"/>
      <c r="L69" s="5"/>
      <c r="M69" s="5"/>
      <c r="N69" s="5"/>
      <c r="O69" s="5"/>
      <c r="P69" s="5"/>
    </row>
    <row r="70" customFormat="false" ht="16.4" hidden="false" customHeight="false" outlineLevel="0" collapsed="false">
      <c r="A70" s="0" t="s">
        <v>199</v>
      </c>
      <c r="B70" s="5" t="s">
        <v>10</v>
      </c>
      <c r="C70" s="0" t="s">
        <v>522</v>
      </c>
      <c r="D70" s="0" t="s">
        <v>523</v>
      </c>
      <c r="E70" s="0" t="s">
        <v>564</v>
      </c>
      <c r="F70" s="5" t="s">
        <v>31</v>
      </c>
      <c r="G70" s="5"/>
      <c r="H70" s="5"/>
      <c r="I70" s="5" t="s">
        <v>493</v>
      </c>
      <c r="J70" s="5"/>
      <c r="K70" s="5"/>
      <c r="L70" s="5"/>
      <c r="M70" s="5"/>
      <c r="N70" s="5"/>
      <c r="O70" s="5"/>
      <c r="P70" s="5"/>
    </row>
    <row r="71" customFormat="false" ht="16.4" hidden="false" customHeight="false" outlineLevel="0" collapsed="false">
      <c r="A71" s="0" t="s">
        <v>219</v>
      </c>
      <c r="B71" s="5" t="s">
        <v>10</v>
      </c>
      <c r="C71" s="0" t="s">
        <v>490</v>
      </c>
      <c r="D71" s="0" t="s">
        <v>491</v>
      </c>
      <c r="E71" s="0" t="s">
        <v>565</v>
      </c>
      <c r="F71" s="5" t="s">
        <v>31</v>
      </c>
      <c r="G71" s="5"/>
      <c r="H71" s="5"/>
      <c r="I71" s="5" t="s">
        <v>493</v>
      </c>
      <c r="J71" s="5"/>
      <c r="K71" s="5"/>
      <c r="L71" s="5"/>
      <c r="M71" s="5"/>
      <c r="N71" s="5"/>
      <c r="O71" s="5"/>
      <c r="P71" s="5"/>
    </row>
    <row r="72" customFormat="false" ht="16.4" hidden="false" customHeight="false" outlineLevel="0" collapsed="false">
      <c r="A72" s="0" t="s">
        <v>219</v>
      </c>
      <c r="B72" s="5" t="s">
        <v>10</v>
      </c>
      <c r="C72" s="0" t="s">
        <v>522</v>
      </c>
      <c r="D72" s="0" t="s">
        <v>523</v>
      </c>
      <c r="E72" s="0" t="s">
        <v>566</v>
      </c>
      <c r="F72" s="5" t="s">
        <v>31</v>
      </c>
      <c r="G72" s="5"/>
      <c r="H72" s="5"/>
      <c r="I72" s="5" t="s">
        <v>493</v>
      </c>
      <c r="J72" s="5"/>
      <c r="K72" s="5"/>
      <c r="L72" s="5"/>
      <c r="M72" s="5"/>
      <c r="N72" s="5"/>
      <c r="O72" s="5"/>
      <c r="P72" s="5"/>
    </row>
    <row r="73" customFormat="false" ht="16.4" hidden="false" customHeight="false" outlineLevel="0" collapsed="false">
      <c r="A73" s="0" t="s">
        <v>219</v>
      </c>
      <c r="B73" s="5" t="s">
        <v>10</v>
      </c>
      <c r="C73" s="0" t="s">
        <v>518</v>
      </c>
      <c r="D73" s="0" t="s">
        <v>519</v>
      </c>
      <c r="E73" s="0" t="s">
        <v>567</v>
      </c>
      <c r="F73" s="5" t="s">
        <v>31</v>
      </c>
      <c r="G73" s="5"/>
      <c r="H73" s="5"/>
      <c r="I73" s="5" t="s">
        <v>493</v>
      </c>
      <c r="J73" s="5"/>
      <c r="K73" s="5"/>
      <c r="L73" s="5"/>
      <c r="M73" s="5"/>
      <c r="N73" s="5"/>
      <c r="O73" s="5"/>
      <c r="P73" s="5"/>
    </row>
    <row r="74" customFormat="false" ht="16.4" hidden="false" customHeight="false" outlineLevel="0" collapsed="false">
      <c r="A74" s="0" t="s">
        <v>221</v>
      </c>
      <c r="B74" s="5" t="s">
        <v>10</v>
      </c>
      <c r="C74" s="0" t="s">
        <v>522</v>
      </c>
      <c r="D74" s="0" t="s">
        <v>523</v>
      </c>
      <c r="E74" s="0" t="s">
        <v>566</v>
      </c>
      <c r="F74" s="5" t="s">
        <v>31</v>
      </c>
      <c r="G74" s="5"/>
      <c r="H74" s="5"/>
      <c r="I74" s="5" t="s">
        <v>493</v>
      </c>
      <c r="J74" s="5"/>
      <c r="K74" s="5"/>
      <c r="L74" s="5"/>
      <c r="M74" s="5"/>
      <c r="N74" s="5"/>
      <c r="O74" s="5"/>
      <c r="P74" s="5"/>
    </row>
    <row r="75" customFormat="false" ht="16.4" hidden="false" customHeight="false" outlineLevel="0" collapsed="false">
      <c r="A75" s="0" t="s">
        <v>221</v>
      </c>
      <c r="B75" s="5" t="s">
        <v>10</v>
      </c>
      <c r="C75" s="0" t="s">
        <v>518</v>
      </c>
      <c r="D75" s="0" t="s">
        <v>519</v>
      </c>
      <c r="E75" s="0" t="s">
        <v>568</v>
      </c>
      <c r="F75" s="5" t="s">
        <v>31</v>
      </c>
      <c r="G75" s="5"/>
      <c r="H75" s="5"/>
      <c r="I75" s="5" t="s">
        <v>493</v>
      </c>
      <c r="J75" s="5"/>
      <c r="K75" s="5"/>
      <c r="L75" s="5"/>
      <c r="M75" s="5"/>
      <c r="N75" s="5"/>
      <c r="O75" s="5"/>
      <c r="P75" s="5"/>
    </row>
    <row r="76" customFormat="false" ht="16.4" hidden="false" customHeight="false" outlineLevel="0" collapsed="false">
      <c r="A76" s="0" t="s">
        <v>221</v>
      </c>
      <c r="B76" s="5" t="s">
        <v>10</v>
      </c>
      <c r="C76" s="0" t="s">
        <v>538</v>
      </c>
      <c r="D76" s="0" t="s">
        <v>539</v>
      </c>
      <c r="E76" s="0" t="s">
        <v>569</v>
      </c>
      <c r="F76" s="5" t="s">
        <v>31</v>
      </c>
      <c r="G76" s="5"/>
      <c r="H76" s="5"/>
      <c r="I76" s="5" t="s">
        <v>493</v>
      </c>
      <c r="J76" s="5"/>
      <c r="K76" s="5"/>
      <c r="L76" s="5"/>
      <c r="M76" s="5"/>
      <c r="N76" s="5"/>
      <c r="O76" s="5"/>
      <c r="P76" s="5"/>
    </row>
    <row r="77" customFormat="false" ht="16.4" hidden="false" customHeight="false" outlineLevel="0" collapsed="false">
      <c r="A77" s="0" t="s">
        <v>231</v>
      </c>
      <c r="B77" s="5" t="s">
        <v>10</v>
      </c>
      <c r="C77" s="0" t="s">
        <v>522</v>
      </c>
      <c r="D77" s="0" t="s">
        <v>523</v>
      </c>
      <c r="E77" s="0" t="s">
        <v>570</v>
      </c>
      <c r="F77" s="5" t="s">
        <v>31</v>
      </c>
      <c r="G77" s="5"/>
      <c r="H77" s="5"/>
      <c r="I77" s="5" t="s">
        <v>493</v>
      </c>
      <c r="J77" s="5"/>
      <c r="K77" s="5"/>
      <c r="L77" s="5"/>
      <c r="M77" s="5"/>
      <c r="N77" s="5"/>
      <c r="O77" s="5"/>
      <c r="P77" s="5"/>
    </row>
    <row r="78" customFormat="false" ht="16.4" hidden="false" customHeight="false" outlineLevel="0" collapsed="false">
      <c r="A78" s="0" t="s">
        <v>231</v>
      </c>
      <c r="B78" s="5" t="s">
        <v>10</v>
      </c>
      <c r="C78" s="0" t="s">
        <v>538</v>
      </c>
      <c r="D78" s="0" t="s">
        <v>539</v>
      </c>
      <c r="E78" s="0" t="s">
        <v>524</v>
      </c>
      <c r="F78" s="5" t="s">
        <v>31</v>
      </c>
      <c r="G78" s="5"/>
      <c r="H78" s="5"/>
      <c r="I78" s="5" t="s">
        <v>493</v>
      </c>
      <c r="J78" s="5"/>
      <c r="K78" s="5"/>
      <c r="L78" s="5"/>
      <c r="M78" s="5"/>
      <c r="N78" s="5"/>
      <c r="O78" s="5"/>
      <c r="P78" s="5"/>
    </row>
    <row r="79" customFormat="false" ht="16.4" hidden="false" customHeight="false" outlineLevel="0" collapsed="false">
      <c r="A79" s="0" t="s">
        <v>237</v>
      </c>
      <c r="B79" s="5" t="s">
        <v>10</v>
      </c>
      <c r="C79" s="0" t="s">
        <v>518</v>
      </c>
      <c r="D79" s="0" t="s">
        <v>519</v>
      </c>
      <c r="E79" s="0" t="s">
        <v>571</v>
      </c>
      <c r="F79" s="5" t="s">
        <v>31</v>
      </c>
      <c r="G79" s="5"/>
      <c r="H79" s="5"/>
      <c r="I79" s="5" t="s">
        <v>493</v>
      </c>
      <c r="J79" s="5"/>
      <c r="K79" s="5"/>
      <c r="L79" s="5"/>
      <c r="M79" s="5"/>
      <c r="N79" s="5"/>
      <c r="O79" s="5"/>
      <c r="P79" s="5"/>
    </row>
    <row r="80" customFormat="false" ht="16.4" hidden="false" customHeight="false" outlineLevel="0" collapsed="false">
      <c r="A80" s="0" t="s">
        <v>237</v>
      </c>
      <c r="B80" s="5" t="s">
        <v>10</v>
      </c>
      <c r="C80" s="0" t="s">
        <v>538</v>
      </c>
      <c r="D80" s="0" t="s">
        <v>539</v>
      </c>
      <c r="E80" s="0" t="s">
        <v>572</v>
      </c>
      <c r="F80" s="5" t="s">
        <v>31</v>
      </c>
      <c r="G80" s="5"/>
      <c r="H80" s="5"/>
      <c r="I80" s="5" t="s">
        <v>493</v>
      </c>
      <c r="J80" s="5"/>
      <c r="K80" s="5"/>
      <c r="L80" s="5"/>
      <c r="M80" s="5"/>
      <c r="N80" s="5"/>
      <c r="O80" s="5"/>
      <c r="P80" s="5"/>
    </row>
    <row r="81" customFormat="false" ht="16.4" hidden="false" customHeight="false" outlineLevel="0" collapsed="false">
      <c r="A81" s="0" t="s">
        <v>280</v>
      </c>
      <c r="B81" s="5" t="s">
        <v>10</v>
      </c>
      <c r="C81" s="0" t="s">
        <v>518</v>
      </c>
      <c r="D81" s="0" t="s">
        <v>519</v>
      </c>
      <c r="E81" s="0" t="s">
        <v>573</v>
      </c>
      <c r="F81" s="5" t="s">
        <v>31</v>
      </c>
      <c r="G81" s="5"/>
      <c r="H81" s="5"/>
      <c r="I81" s="5" t="s">
        <v>493</v>
      </c>
      <c r="J81" s="5"/>
      <c r="K81" s="5"/>
      <c r="L81" s="5"/>
      <c r="M81" s="5"/>
      <c r="N81" s="5"/>
      <c r="O81" s="5"/>
      <c r="P81" s="5"/>
    </row>
    <row r="82" customFormat="false" ht="16.4" hidden="false" customHeight="false" outlineLevel="0" collapsed="false">
      <c r="A82" s="0" t="s">
        <v>282</v>
      </c>
      <c r="B82" s="5" t="s">
        <v>10</v>
      </c>
      <c r="C82" s="0" t="s">
        <v>518</v>
      </c>
      <c r="D82" s="0" t="s">
        <v>519</v>
      </c>
      <c r="E82" s="0" t="s">
        <v>573</v>
      </c>
      <c r="F82" s="5" t="s">
        <v>31</v>
      </c>
      <c r="G82" s="5"/>
      <c r="H82" s="5"/>
      <c r="I82" s="5" t="s">
        <v>493</v>
      </c>
      <c r="J82" s="5"/>
      <c r="K82" s="5"/>
      <c r="L82" s="5"/>
      <c r="M82" s="5"/>
      <c r="N82" s="5"/>
      <c r="O82" s="5"/>
      <c r="P82" s="5"/>
    </row>
    <row r="83" customFormat="false" ht="16.4" hidden="false" customHeight="false" outlineLevel="0" collapsed="false">
      <c r="A83" s="0" t="s">
        <v>283</v>
      </c>
      <c r="B83" s="5" t="s">
        <v>10</v>
      </c>
      <c r="C83" s="0" t="s">
        <v>518</v>
      </c>
      <c r="D83" s="0" t="s">
        <v>519</v>
      </c>
      <c r="E83" s="0" t="s">
        <v>574</v>
      </c>
      <c r="F83" s="5" t="s">
        <v>31</v>
      </c>
      <c r="G83" s="5"/>
      <c r="H83" s="5"/>
      <c r="I83" s="5" t="s">
        <v>493</v>
      </c>
      <c r="J83" s="5"/>
      <c r="K83" s="5"/>
      <c r="L83" s="5"/>
      <c r="M83" s="5"/>
      <c r="N83" s="5"/>
      <c r="O83" s="5"/>
      <c r="P83" s="5"/>
    </row>
    <row r="84" customFormat="false" ht="16.4" hidden="false" customHeight="false" outlineLevel="0" collapsed="false">
      <c r="A84" s="0" t="s">
        <v>285</v>
      </c>
      <c r="B84" s="5" t="s">
        <v>10</v>
      </c>
      <c r="C84" s="0" t="s">
        <v>518</v>
      </c>
      <c r="D84" s="0" t="s">
        <v>519</v>
      </c>
      <c r="E84" s="0" t="s">
        <v>575</v>
      </c>
      <c r="F84" s="5" t="s">
        <v>31</v>
      </c>
      <c r="G84" s="5"/>
      <c r="H84" s="5"/>
      <c r="I84" s="5" t="s">
        <v>493</v>
      </c>
      <c r="J84" s="5"/>
      <c r="K84" s="5"/>
      <c r="L84" s="5"/>
      <c r="M84" s="5"/>
      <c r="N84" s="5"/>
      <c r="O84" s="5"/>
      <c r="P84" s="5"/>
    </row>
    <row r="85" customFormat="false" ht="16.4" hidden="false" customHeight="false" outlineLevel="0" collapsed="false">
      <c r="A85" s="0" t="s">
        <v>286</v>
      </c>
      <c r="B85" s="5" t="s">
        <v>10</v>
      </c>
      <c r="C85" s="0" t="s">
        <v>518</v>
      </c>
      <c r="D85" s="0" t="s">
        <v>519</v>
      </c>
      <c r="E85" s="0" t="s">
        <v>576</v>
      </c>
      <c r="F85" s="5" t="s">
        <v>31</v>
      </c>
      <c r="G85" s="5"/>
      <c r="H85" s="5"/>
      <c r="I85" s="5" t="s">
        <v>493</v>
      </c>
      <c r="J85" s="5"/>
      <c r="K85" s="5"/>
      <c r="L85" s="5"/>
      <c r="M85" s="5"/>
      <c r="N85" s="5"/>
      <c r="O85" s="5"/>
      <c r="P85" s="5"/>
    </row>
    <row r="86" customFormat="false" ht="16.4" hidden="false" customHeight="false" outlineLevel="0" collapsed="false">
      <c r="A86" s="0" t="s">
        <v>288</v>
      </c>
      <c r="B86" s="5" t="s">
        <v>10</v>
      </c>
      <c r="C86" s="0" t="s">
        <v>518</v>
      </c>
      <c r="D86" s="0" t="s">
        <v>519</v>
      </c>
      <c r="E86" s="0" t="s">
        <v>577</v>
      </c>
      <c r="F86" s="5" t="s">
        <v>31</v>
      </c>
      <c r="G86" s="5"/>
      <c r="H86" s="5"/>
      <c r="I86" s="5" t="s">
        <v>493</v>
      </c>
      <c r="J86" s="5"/>
      <c r="K86" s="5"/>
      <c r="L86" s="5"/>
      <c r="M86" s="5"/>
      <c r="N86" s="5"/>
      <c r="O86" s="5"/>
      <c r="P86" s="5"/>
    </row>
    <row r="87" customFormat="false" ht="16.4" hidden="false" customHeight="false" outlineLevel="0" collapsed="false">
      <c r="A87" s="0" t="s">
        <v>290</v>
      </c>
      <c r="B87" s="5" t="s">
        <v>10</v>
      </c>
      <c r="C87" s="0" t="s">
        <v>518</v>
      </c>
      <c r="D87" s="0" t="s">
        <v>519</v>
      </c>
      <c r="E87" s="0" t="s">
        <v>578</v>
      </c>
      <c r="F87" s="5" t="s">
        <v>31</v>
      </c>
      <c r="G87" s="5"/>
      <c r="H87" s="5"/>
      <c r="I87" s="5" t="s">
        <v>493</v>
      </c>
      <c r="J87" s="5"/>
      <c r="K87" s="5"/>
      <c r="L87" s="5"/>
      <c r="M87" s="5"/>
      <c r="N87" s="5"/>
      <c r="O87" s="5"/>
      <c r="P87" s="5"/>
    </row>
    <row r="88" customFormat="false" ht="16.4" hidden="false" customHeight="false" outlineLevel="0" collapsed="false">
      <c r="A88" s="0" t="s">
        <v>316</v>
      </c>
      <c r="B88" s="5" t="s">
        <v>10</v>
      </c>
      <c r="C88" s="0" t="s">
        <v>522</v>
      </c>
      <c r="D88" s="0" t="s">
        <v>523</v>
      </c>
      <c r="E88" s="0" t="s">
        <v>579</v>
      </c>
      <c r="F88" s="5" t="s">
        <v>31</v>
      </c>
      <c r="G88" s="5"/>
      <c r="H88" s="5"/>
      <c r="I88" s="5" t="s">
        <v>493</v>
      </c>
      <c r="J88" s="5"/>
      <c r="K88" s="5"/>
      <c r="L88" s="5"/>
      <c r="M88" s="5"/>
      <c r="N88" s="5"/>
      <c r="O88" s="5"/>
      <c r="P88" s="5"/>
    </row>
    <row r="89" customFormat="false" ht="16.4" hidden="false" customHeight="false" outlineLevel="0" collapsed="false">
      <c r="A89" s="0" t="s">
        <v>316</v>
      </c>
      <c r="B89" s="5" t="s">
        <v>10</v>
      </c>
      <c r="C89" s="0" t="s">
        <v>518</v>
      </c>
      <c r="D89" s="0" t="s">
        <v>519</v>
      </c>
      <c r="E89" s="0" t="s">
        <v>580</v>
      </c>
      <c r="F89" s="5" t="s">
        <v>31</v>
      </c>
      <c r="G89" s="5"/>
      <c r="H89" s="5"/>
      <c r="I89" s="5" t="s">
        <v>493</v>
      </c>
      <c r="J89" s="5"/>
      <c r="K89" s="5"/>
      <c r="L89" s="5"/>
      <c r="M89" s="5"/>
      <c r="N89" s="5"/>
      <c r="O89" s="5"/>
      <c r="P89" s="5"/>
    </row>
    <row r="90" customFormat="false" ht="16.4" hidden="false" customHeight="false" outlineLevel="0" collapsed="false">
      <c r="A90" s="0" t="s">
        <v>416</v>
      </c>
      <c r="B90" s="5" t="s">
        <v>10</v>
      </c>
      <c r="C90" s="0" t="s">
        <v>522</v>
      </c>
      <c r="D90" s="0" t="s">
        <v>523</v>
      </c>
      <c r="E90" s="0" t="s">
        <v>581</v>
      </c>
      <c r="F90" s="5" t="s">
        <v>31</v>
      </c>
      <c r="G90" s="5"/>
      <c r="H90" s="5"/>
      <c r="I90" s="5" t="s">
        <v>493</v>
      </c>
      <c r="J90" s="5"/>
      <c r="K90" s="5"/>
      <c r="L90" s="5"/>
      <c r="M90" s="5"/>
      <c r="N90" s="5"/>
      <c r="O90" s="5"/>
      <c r="P90" s="5"/>
    </row>
    <row r="91" customFormat="false" ht="16.4" hidden="false" customHeight="false" outlineLevel="0" collapsed="false">
      <c r="A91" s="0" t="s">
        <v>416</v>
      </c>
      <c r="B91" s="5" t="s">
        <v>10</v>
      </c>
      <c r="C91" s="0" t="s">
        <v>518</v>
      </c>
      <c r="D91" s="0" t="s">
        <v>519</v>
      </c>
      <c r="E91" s="0" t="s">
        <v>582</v>
      </c>
      <c r="F91" s="5" t="s">
        <v>31</v>
      </c>
      <c r="G91" s="5"/>
      <c r="H91" s="5"/>
      <c r="I91" s="5" t="s">
        <v>493</v>
      </c>
      <c r="J91" s="5"/>
      <c r="K91" s="5"/>
      <c r="L91" s="5"/>
      <c r="M91" s="5"/>
      <c r="N91" s="5"/>
      <c r="O91" s="5"/>
      <c r="P91" s="5"/>
    </row>
    <row r="92" customFormat="false" ht="16.4" hidden="false" customHeight="false" outlineLevel="0" collapsed="false">
      <c r="A92" s="0" t="s">
        <v>416</v>
      </c>
      <c r="B92" s="5" t="s">
        <v>10</v>
      </c>
      <c r="C92" s="0" t="s">
        <v>541</v>
      </c>
      <c r="D92" s="0" t="s">
        <v>542</v>
      </c>
      <c r="F92" s="5" t="s">
        <v>31</v>
      </c>
      <c r="G92" s="5"/>
      <c r="H92" s="5"/>
      <c r="I92" s="5" t="s">
        <v>493</v>
      </c>
      <c r="J92" s="5"/>
      <c r="K92" s="5"/>
      <c r="L92" s="5"/>
      <c r="M92" s="5"/>
      <c r="N92" s="5"/>
      <c r="O92" s="5"/>
      <c r="P92" s="5"/>
    </row>
    <row r="93" customFormat="false" ht="16.4" hidden="false" customHeight="false" outlineLevel="0" collapsed="false">
      <c r="A93" s="0" t="s">
        <v>418</v>
      </c>
      <c r="B93" s="5" t="s">
        <v>10</v>
      </c>
      <c r="C93" s="0" t="s">
        <v>490</v>
      </c>
      <c r="D93" s="0" t="s">
        <v>491</v>
      </c>
      <c r="E93" s="0" t="s">
        <v>583</v>
      </c>
      <c r="F93" s="5" t="s">
        <v>31</v>
      </c>
      <c r="G93" s="5"/>
      <c r="H93" s="5"/>
      <c r="I93" s="5" t="s">
        <v>493</v>
      </c>
      <c r="J93" s="5"/>
      <c r="K93" s="5"/>
      <c r="L93" s="5"/>
      <c r="M93" s="5"/>
      <c r="N93" s="5"/>
      <c r="O93" s="5"/>
      <c r="P93" s="5"/>
    </row>
    <row r="94" customFormat="false" ht="16.4" hidden="false" customHeight="false" outlineLevel="0" collapsed="false">
      <c r="A94" s="0" t="s">
        <v>418</v>
      </c>
      <c r="B94" s="5" t="s">
        <v>10</v>
      </c>
      <c r="C94" s="0" t="s">
        <v>522</v>
      </c>
      <c r="D94" s="0" t="s">
        <v>523</v>
      </c>
      <c r="E94" s="0" t="s">
        <v>584</v>
      </c>
      <c r="F94" s="5" t="s">
        <v>31</v>
      </c>
      <c r="G94" s="5"/>
      <c r="H94" s="5"/>
      <c r="I94" s="5" t="s">
        <v>493</v>
      </c>
      <c r="J94" s="5"/>
      <c r="K94" s="5"/>
      <c r="L94" s="5"/>
      <c r="M94" s="5"/>
      <c r="N94" s="5"/>
      <c r="O94" s="5"/>
      <c r="P94" s="5"/>
    </row>
    <row r="95" customFormat="false" ht="16.4" hidden="false" customHeight="false" outlineLevel="0" collapsed="false">
      <c r="A95" s="0" t="s">
        <v>418</v>
      </c>
      <c r="B95" s="5" t="s">
        <v>10</v>
      </c>
      <c r="C95" s="0" t="s">
        <v>518</v>
      </c>
      <c r="D95" s="0" t="s">
        <v>519</v>
      </c>
      <c r="E95" s="0" t="s">
        <v>585</v>
      </c>
      <c r="F95" s="5" t="s">
        <v>31</v>
      </c>
      <c r="G95" s="5"/>
      <c r="H95" s="5"/>
      <c r="I95" s="5" t="s">
        <v>493</v>
      </c>
      <c r="J95" s="5"/>
      <c r="K95" s="5"/>
      <c r="L95" s="5"/>
      <c r="M95" s="5"/>
      <c r="N95" s="5"/>
      <c r="O95" s="5"/>
      <c r="P95" s="5"/>
    </row>
    <row r="96" customFormat="false" ht="16.4" hidden="false" customHeight="false" outlineLevel="0" collapsed="false">
      <c r="A96" s="0" t="s">
        <v>421</v>
      </c>
      <c r="B96" s="5" t="s">
        <v>10</v>
      </c>
      <c r="C96" s="0" t="s">
        <v>490</v>
      </c>
      <c r="D96" s="0" t="s">
        <v>491</v>
      </c>
      <c r="E96" s="0" t="s">
        <v>586</v>
      </c>
      <c r="F96" s="5" t="s">
        <v>31</v>
      </c>
      <c r="G96" s="5"/>
      <c r="H96" s="5"/>
      <c r="I96" s="5" t="s">
        <v>493</v>
      </c>
      <c r="J96" s="5"/>
      <c r="K96" s="5"/>
      <c r="L96" s="5"/>
      <c r="M96" s="5"/>
      <c r="N96" s="5"/>
      <c r="O96" s="5"/>
      <c r="P96" s="5"/>
    </row>
    <row r="97" customFormat="false" ht="16.4" hidden="false" customHeight="false" outlineLevel="0" collapsed="false">
      <c r="A97" s="0" t="s">
        <v>421</v>
      </c>
      <c r="B97" s="5" t="s">
        <v>10</v>
      </c>
      <c r="C97" s="0" t="s">
        <v>522</v>
      </c>
      <c r="D97" s="0" t="s">
        <v>523</v>
      </c>
      <c r="E97" s="0" t="s">
        <v>587</v>
      </c>
      <c r="F97" s="5" t="s">
        <v>31</v>
      </c>
      <c r="G97" s="5"/>
      <c r="H97" s="5"/>
      <c r="I97" s="5" t="s">
        <v>493</v>
      </c>
      <c r="J97" s="5"/>
      <c r="K97" s="5"/>
      <c r="L97" s="5"/>
      <c r="M97" s="5"/>
      <c r="N97" s="5"/>
      <c r="O97" s="5"/>
      <c r="P97" s="5"/>
    </row>
    <row r="98" customFormat="false" ht="16.4" hidden="false" customHeight="false" outlineLevel="0" collapsed="false">
      <c r="A98" s="0" t="s">
        <v>421</v>
      </c>
      <c r="B98" s="5" t="s">
        <v>10</v>
      </c>
      <c r="C98" s="0" t="s">
        <v>518</v>
      </c>
      <c r="D98" s="0" t="s">
        <v>519</v>
      </c>
      <c r="E98" s="0" t="s">
        <v>567</v>
      </c>
      <c r="F98" s="5" t="s">
        <v>31</v>
      </c>
      <c r="G98" s="5"/>
      <c r="H98" s="5"/>
      <c r="I98" s="5" t="s">
        <v>493</v>
      </c>
      <c r="J98" s="5"/>
      <c r="K98" s="5"/>
      <c r="L98" s="5"/>
      <c r="M98" s="5"/>
      <c r="N98" s="5"/>
      <c r="O98" s="5"/>
      <c r="P98" s="5"/>
    </row>
    <row r="99" customFormat="false" ht="16.4" hidden="false" customHeight="false" outlineLevel="0" collapsed="false">
      <c r="A99" s="0" t="s">
        <v>423</v>
      </c>
      <c r="B99" s="5" t="s">
        <v>10</v>
      </c>
      <c r="C99" s="0" t="s">
        <v>490</v>
      </c>
      <c r="D99" s="0" t="s">
        <v>491</v>
      </c>
      <c r="E99" s="0" t="s">
        <v>588</v>
      </c>
      <c r="F99" s="5" t="s">
        <v>31</v>
      </c>
      <c r="G99" s="5"/>
      <c r="H99" s="5"/>
      <c r="I99" s="5" t="s">
        <v>493</v>
      </c>
      <c r="J99" s="5"/>
      <c r="K99" s="5"/>
      <c r="L99" s="5"/>
      <c r="M99" s="5"/>
      <c r="N99" s="5"/>
      <c r="O99" s="5"/>
      <c r="P99" s="5"/>
    </row>
    <row r="100" customFormat="false" ht="16.4" hidden="false" customHeight="false" outlineLevel="0" collapsed="false">
      <c r="A100" s="0" t="s">
        <v>423</v>
      </c>
      <c r="B100" s="5" t="s">
        <v>10</v>
      </c>
      <c r="C100" s="0" t="s">
        <v>522</v>
      </c>
      <c r="D100" s="0" t="s">
        <v>523</v>
      </c>
      <c r="E100" s="0" t="s">
        <v>589</v>
      </c>
      <c r="F100" s="5" t="s">
        <v>31</v>
      </c>
      <c r="G100" s="5"/>
      <c r="H100" s="5"/>
      <c r="I100" s="5" t="s">
        <v>493</v>
      </c>
      <c r="J100" s="5"/>
      <c r="K100" s="5"/>
      <c r="L100" s="5"/>
      <c r="M100" s="5"/>
      <c r="N100" s="5"/>
      <c r="O100" s="5"/>
      <c r="P100" s="5"/>
    </row>
    <row r="101" customFormat="false" ht="16.4" hidden="false" customHeight="false" outlineLevel="0" collapsed="false">
      <c r="A101" s="0" t="s">
        <v>423</v>
      </c>
      <c r="B101" s="5" t="s">
        <v>10</v>
      </c>
      <c r="C101" s="0" t="s">
        <v>518</v>
      </c>
      <c r="D101" s="0" t="s">
        <v>519</v>
      </c>
      <c r="E101" s="0" t="s">
        <v>590</v>
      </c>
      <c r="F101" s="5" t="s">
        <v>31</v>
      </c>
      <c r="G101" s="5"/>
      <c r="H101" s="5"/>
      <c r="I101" s="5" t="s">
        <v>493</v>
      </c>
      <c r="J101" s="5"/>
      <c r="K101" s="5"/>
      <c r="L101" s="5"/>
      <c r="M101" s="5"/>
      <c r="N101" s="5"/>
      <c r="O101" s="5"/>
      <c r="P101" s="5"/>
    </row>
    <row r="102" customFormat="false" ht="16.4" hidden="false" customHeight="false" outlineLevel="0" collapsed="false">
      <c r="A102" s="0" t="s">
        <v>425</v>
      </c>
      <c r="B102" s="5" t="s">
        <v>10</v>
      </c>
      <c r="C102" s="0" t="s">
        <v>490</v>
      </c>
      <c r="D102" s="0" t="s">
        <v>491</v>
      </c>
      <c r="E102" s="0" t="s">
        <v>591</v>
      </c>
      <c r="F102" s="5" t="s">
        <v>31</v>
      </c>
      <c r="G102" s="5"/>
      <c r="H102" s="5"/>
      <c r="I102" s="5" t="s">
        <v>493</v>
      </c>
      <c r="J102" s="5"/>
      <c r="K102" s="5"/>
      <c r="L102" s="5"/>
      <c r="M102" s="5"/>
      <c r="N102" s="5"/>
      <c r="O102" s="5"/>
      <c r="P102" s="5"/>
    </row>
    <row r="103" customFormat="false" ht="16.4" hidden="false" customHeight="false" outlineLevel="0" collapsed="false">
      <c r="A103" s="0" t="s">
        <v>425</v>
      </c>
      <c r="B103" s="5" t="s">
        <v>10</v>
      </c>
      <c r="C103" s="0" t="s">
        <v>522</v>
      </c>
      <c r="D103" s="0" t="s">
        <v>523</v>
      </c>
      <c r="E103" s="0" t="s">
        <v>592</v>
      </c>
      <c r="F103" s="5" t="s">
        <v>31</v>
      </c>
      <c r="G103" s="5"/>
      <c r="H103" s="5"/>
      <c r="I103" s="5" t="s">
        <v>493</v>
      </c>
      <c r="J103" s="5"/>
      <c r="K103" s="5"/>
      <c r="L103" s="5"/>
      <c r="M103" s="5"/>
      <c r="N103" s="5"/>
      <c r="O103" s="5"/>
      <c r="P103" s="5"/>
    </row>
    <row r="104" customFormat="false" ht="16.4" hidden="false" customHeight="false" outlineLevel="0" collapsed="false">
      <c r="A104" s="0" t="s">
        <v>425</v>
      </c>
      <c r="B104" s="5" t="s">
        <v>10</v>
      </c>
      <c r="C104" s="0" t="s">
        <v>518</v>
      </c>
      <c r="D104" s="0" t="s">
        <v>519</v>
      </c>
      <c r="E104" s="0" t="s">
        <v>593</v>
      </c>
      <c r="F104" s="5" t="s">
        <v>31</v>
      </c>
      <c r="G104" s="5"/>
      <c r="H104" s="5"/>
      <c r="I104" s="5" t="s">
        <v>493</v>
      </c>
      <c r="J104" s="5"/>
      <c r="K104" s="5"/>
      <c r="L104" s="5"/>
      <c r="M104" s="5"/>
      <c r="N104" s="5"/>
      <c r="O104" s="5"/>
      <c r="P104" s="5"/>
    </row>
    <row r="105" customFormat="false" ht="16.4" hidden="false" customHeight="false" outlineLevel="0" collapsed="false">
      <c r="A105" s="0" t="s">
        <v>427</v>
      </c>
      <c r="B105" s="5" t="s">
        <v>10</v>
      </c>
      <c r="C105" s="0" t="s">
        <v>490</v>
      </c>
      <c r="D105" s="0" t="s">
        <v>491</v>
      </c>
      <c r="E105" s="0" t="s">
        <v>594</v>
      </c>
      <c r="F105" s="5" t="s">
        <v>31</v>
      </c>
      <c r="G105" s="5"/>
      <c r="H105" s="5"/>
      <c r="I105" s="5" t="s">
        <v>493</v>
      </c>
      <c r="J105" s="5"/>
      <c r="K105" s="5"/>
      <c r="L105" s="5"/>
      <c r="M105" s="5"/>
      <c r="N105" s="5"/>
      <c r="O105" s="5"/>
      <c r="P105" s="5"/>
    </row>
    <row r="106" customFormat="false" ht="16.4" hidden="false" customHeight="false" outlineLevel="0" collapsed="false">
      <c r="A106" s="0" t="s">
        <v>427</v>
      </c>
      <c r="B106" s="5" t="s">
        <v>10</v>
      </c>
      <c r="C106" s="0" t="s">
        <v>522</v>
      </c>
      <c r="D106" s="0" t="s">
        <v>523</v>
      </c>
      <c r="E106" s="0" t="s">
        <v>595</v>
      </c>
      <c r="F106" s="5" t="s">
        <v>31</v>
      </c>
      <c r="G106" s="5"/>
      <c r="H106" s="5"/>
      <c r="I106" s="5" t="s">
        <v>493</v>
      </c>
      <c r="J106" s="5"/>
      <c r="K106" s="5"/>
      <c r="L106" s="5"/>
      <c r="M106" s="5"/>
      <c r="N106" s="5"/>
      <c r="O106" s="5"/>
      <c r="P106" s="5"/>
    </row>
    <row r="107" customFormat="false" ht="16.4" hidden="false" customHeight="false" outlineLevel="0" collapsed="false">
      <c r="A107" s="0" t="s">
        <v>427</v>
      </c>
      <c r="B107" s="5" t="s">
        <v>10</v>
      </c>
      <c r="C107" s="0" t="s">
        <v>518</v>
      </c>
      <c r="D107" s="0" t="s">
        <v>519</v>
      </c>
      <c r="E107" s="0" t="s">
        <v>596</v>
      </c>
      <c r="F107" s="5" t="s">
        <v>31</v>
      </c>
      <c r="G107" s="5"/>
      <c r="H107" s="5"/>
      <c r="I107" s="5" t="s">
        <v>493</v>
      </c>
      <c r="J107" s="5"/>
      <c r="K107" s="5"/>
      <c r="L107" s="5"/>
      <c r="M107" s="5"/>
      <c r="N107" s="5"/>
      <c r="O107" s="5"/>
      <c r="P107" s="5"/>
    </row>
    <row r="108" customFormat="false" ht="16.4" hidden="false" customHeight="false" outlineLevel="0" collapsed="false">
      <c r="A108" s="0" t="s">
        <v>429</v>
      </c>
      <c r="B108" s="5" t="s">
        <v>10</v>
      </c>
      <c r="C108" s="0" t="s">
        <v>490</v>
      </c>
      <c r="D108" s="0" t="s">
        <v>491</v>
      </c>
      <c r="E108" s="0" t="s">
        <v>597</v>
      </c>
      <c r="F108" s="5" t="s">
        <v>31</v>
      </c>
      <c r="G108" s="5"/>
      <c r="H108" s="5"/>
      <c r="I108" s="5" t="s">
        <v>493</v>
      </c>
      <c r="J108" s="5"/>
      <c r="K108" s="5"/>
      <c r="L108" s="5"/>
      <c r="M108" s="5"/>
      <c r="N108" s="5"/>
      <c r="O108" s="5"/>
      <c r="P108" s="5"/>
    </row>
    <row r="109" customFormat="false" ht="16.4" hidden="false" customHeight="false" outlineLevel="0" collapsed="false">
      <c r="A109" s="0" t="s">
        <v>429</v>
      </c>
      <c r="B109" s="5" t="s">
        <v>10</v>
      </c>
      <c r="C109" s="0" t="s">
        <v>522</v>
      </c>
      <c r="D109" s="0" t="s">
        <v>523</v>
      </c>
      <c r="E109" s="0" t="s">
        <v>598</v>
      </c>
      <c r="F109" s="5" t="s">
        <v>31</v>
      </c>
      <c r="G109" s="5"/>
      <c r="H109" s="5"/>
      <c r="I109" s="5" t="s">
        <v>493</v>
      </c>
      <c r="J109" s="5"/>
      <c r="K109" s="5"/>
      <c r="L109" s="5"/>
      <c r="M109" s="5"/>
      <c r="N109" s="5"/>
      <c r="O109" s="5"/>
      <c r="P109" s="5"/>
    </row>
    <row r="110" customFormat="false" ht="16.4" hidden="false" customHeight="false" outlineLevel="0" collapsed="false">
      <c r="A110" s="0" t="s">
        <v>429</v>
      </c>
      <c r="B110" s="5" t="s">
        <v>10</v>
      </c>
      <c r="C110" s="0" t="s">
        <v>518</v>
      </c>
      <c r="D110" s="0" t="s">
        <v>519</v>
      </c>
      <c r="E110" s="0" t="s">
        <v>572</v>
      </c>
      <c r="F110" s="5" t="s">
        <v>31</v>
      </c>
      <c r="G110" s="5"/>
      <c r="H110" s="5"/>
      <c r="I110" s="5" t="s">
        <v>493</v>
      </c>
      <c r="J110" s="5"/>
      <c r="K110" s="5"/>
      <c r="L110" s="5"/>
      <c r="M110" s="5"/>
      <c r="N110" s="5"/>
      <c r="O110" s="5"/>
      <c r="P110" s="5"/>
    </row>
    <row r="111" customFormat="false" ht="16.4" hidden="false" customHeight="false" outlineLevel="0" collapsed="false">
      <c r="A111" s="0" t="s">
        <v>431</v>
      </c>
      <c r="B111" s="5" t="s">
        <v>10</v>
      </c>
      <c r="C111" s="0" t="s">
        <v>490</v>
      </c>
      <c r="D111" s="0" t="s">
        <v>491</v>
      </c>
      <c r="E111" s="0" t="s">
        <v>599</v>
      </c>
      <c r="F111" s="5" t="s">
        <v>31</v>
      </c>
      <c r="G111" s="5"/>
      <c r="H111" s="5"/>
      <c r="I111" s="5" t="s">
        <v>493</v>
      </c>
      <c r="J111" s="5"/>
      <c r="K111" s="5"/>
      <c r="L111" s="5"/>
      <c r="M111" s="5"/>
      <c r="N111" s="5"/>
      <c r="O111" s="5"/>
      <c r="P111" s="5"/>
    </row>
    <row r="112" customFormat="false" ht="16.4" hidden="false" customHeight="false" outlineLevel="0" collapsed="false">
      <c r="A112" s="0" t="s">
        <v>431</v>
      </c>
      <c r="B112" s="5" t="s">
        <v>10</v>
      </c>
      <c r="C112" s="0" t="s">
        <v>522</v>
      </c>
      <c r="D112" s="0" t="s">
        <v>523</v>
      </c>
      <c r="E112" s="0" t="s">
        <v>600</v>
      </c>
      <c r="F112" s="5" t="s">
        <v>31</v>
      </c>
      <c r="G112" s="5"/>
      <c r="H112" s="5"/>
      <c r="I112" s="5" t="s">
        <v>493</v>
      </c>
      <c r="J112" s="5"/>
      <c r="K112" s="5"/>
      <c r="L112" s="5"/>
      <c r="M112" s="5"/>
      <c r="N112" s="5"/>
      <c r="O112" s="5"/>
      <c r="P112" s="5"/>
    </row>
    <row r="113" customFormat="false" ht="16.4" hidden="false" customHeight="false" outlineLevel="0" collapsed="false">
      <c r="A113" s="0" t="s">
        <v>431</v>
      </c>
      <c r="B113" s="5" t="s">
        <v>10</v>
      </c>
      <c r="C113" s="0" t="s">
        <v>518</v>
      </c>
      <c r="D113" s="0" t="s">
        <v>519</v>
      </c>
      <c r="E113" s="0" t="s">
        <v>601</v>
      </c>
      <c r="F113" s="5" t="s">
        <v>31</v>
      </c>
      <c r="G113" s="5"/>
      <c r="H113" s="5"/>
      <c r="I113" s="5" t="s">
        <v>493</v>
      </c>
      <c r="J113" s="5"/>
      <c r="K113" s="5"/>
      <c r="L113" s="5"/>
      <c r="M113" s="5"/>
      <c r="N113" s="5"/>
      <c r="O113" s="5"/>
      <c r="P113" s="5"/>
    </row>
    <row r="114" customFormat="false" ht="16.4" hidden="false" customHeight="false" outlineLevel="0" collapsed="false">
      <c r="A114" s="0" t="s">
        <v>433</v>
      </c>
      <c r="B114" s="5" t="s">
        <v>10</v>
      </c>
      <c r="C114" s="0" t="s">
        <v>522</v>
      </c>
      <c r="D114" s="0" t="s">
        <v>523</v>
      </c>
      <c r="E114" s="0" t="s">
        <v>602</v>
      </c>
      <c r="F114" s="5" t="s">
        <v>31</v>
      </c>
      <c r="G114" s="5"/>
      <c r="H114" s="5"/>
      <c r="I114" s="5" t="s">
        <v>493</v>
      </c>
      <c r="J114" s="5"/>
      <c r="K114" s="5"/>
      <c r="L114" s="5"/>
      <c r="M114" s="5"/>
      <c r="N114" s="5"/>
      <c r="O114" s="5"/>
      <c r="P114" s="5"/>
    </row>
    <row r="115" customFormat="false" ht="16.4" hidden="false" customHeight="false" outlineLevel="0" collapsed="false">
      <c r="A115" s="0" t="s">
        <v>433</v>
      </c>
      <c r="B115" s="5" t="s">
        <v>10</v>
      </c>
      <c r="C115" s="0" t="s">
        <v>518</v>
      </c>
      <c r="D115" s="0" t="s">
        <v>519</v>
      </c>
      <c r="E115" s="0" t="s">
        <v>603</v>
      </c>
      <c r="F115" s="5" t="s">
        <v>31</v>
      </c>
      <c r="G115" s="5"/>
      <c r="H115" s="5"/>
      <c r="I115" s="5" t="s">
        <v>493</v>
      </c>
      <c r="J115" s="5"/>
      <c r="K115" s="5"/>
      <c r="L115" s="5"/>
      <c r="M115" s="5"/>
      <c r="N115" s="5"/>
      <c r="O115" s="5"/>
      <c r="P115" s="5"/>
    </row>
    <row r="116" customFormat="false" ht="16.4" hidden="false" customHeight="false" outlineLevel="0" collapsed="false">
      <c r="A116" s="0" t="s">
        <v>435</v>
      </c>
      <c r="B116" s="5" t="s">
        <v>10</v>
      </c>
      <c r="C116" s="0" t="s">
        <v>522</v>
      </c>
      <c r="D116" s="0" t="s">
        <v>523</v>
      </c>
      <c r="E116" s="0" t="s">
        <v>604</v>
      </c>
      <c r="F116" s="5" t="s">
        <v>31</v>
      </c>
      <c r="G116" s="5"/>
      <c r="H116" s="5"/>
      <c r="I116" s="5" t="s">
        <v>493</v>
      </c>
      <c r="J116" s="5"/>
      <c r="K116" s="5"/>
      <c r="L116" s="5"/>
      <c r="M116" s="5"/>
      <c r="N116" s="5"/>
      <c r="O116" s="5"/>
      <c r="P116" s="5"/>
    </row>
    <row r="117" customFormat="false" ht="16.4" hidden="false" customHeight="false" outlineLevel="0" collapsed="false">
      <c r="A117" s="0" t="s">
        <v>435</v>
      </c>
      <c r="B117" s="5" t="s">
        <v>10</v>
      </c>
      <c r="C117" s="0" t="s">
        <v>518</v>
      </c>
      <c r="D117" s="0" t="s">
        <v>519</v>
      </c>
      <c r="E117" s="0" t="s">
        <v>605</v>
      </c>
      <c r="F117" s="5" t="s">
        <v>31</v>
      </c>
      <c r="G117" s="5"/>
      <c r="H117" s="5"/>
      <c r="I117" s="5" t="s">
        <v>493</v>
      </c>
      <c r="J117" s="5"/>
      <c r="K117" s="5"/>
      <c r="L117" s="5"/>
      <c r="M117" s="5"/>
      <c r="N117" s="5"/>
      <c r="O117" s="5"/>
      <c r="P117" s="5"/>
    </row>
    <row r="118" customFormat="false" ht="16.4" hidden="false" customHeight="false" outlineLevel="0" collapsed="false">
      <c r="A118" s="0" t="s">
        <v>437</v>
      </c>
      <c r="B118" s="5" t="s">
        <v>10</v>
      </c>
      <c r="C118" s="0" t="s">
        <v>522</v>
      </c>
      <c r="D118" s="0" t="s">
        <v>523</v>
      </c>
      <c r="E118" s="0" t="s">
        <v>606</v>
      </c>
      <c r="F118" s="5" t="s">
        <v>31</v>
      </c>
      <c r="G118" s="5"/>
      <c r="H118" s="5"/>
      <c r="I118" s="5" t="s">
        <v>493</v>
      </c>
      <c r="J118" s="5"/>
      <c r="K118" s="5"/>
      <c r="L118" s="5"/>
      <c r="M118" s="5"/>
      <c r="N118" s="5"/>
      <c r="O118" s="5"/>
      <c r="P118" s="5"/>
    </row>
    <row r="119" customFormat="false" ht="14.25" hidden="false" customHeight="true" outlineLevel="0" collapsed="false">
      <c r="A119" s="0" t="s">
        <v>437</v>
      </c>
      <c r="B119" s="5" t="s">
        <v>10</v>
      </c>
      <c r="C119" s="0" t="s">
        <v>518</v>
      </c>
      <c r="D119" s="0" t="s">
        <v>519</v>
      </c>
      <c r="E119" s="0" t="s">
        <v>607</v>
      </c>
      <c r="F119" s="5" t="s">
        <v>31</v>
      </c>
      <c r="I119" s="5" t="s">
        <v>493</v>
      </c>
    </row>
    <row r="120" customFormat="false" ht="14.25" hidden="false" customHeight="true" outlineLevel="0" collapsed="false">
      <c r="A120" s="0" t="s">
        <v>439</v>
      </c>
      <c r="B120" s="5" t="s">
        <v>10</v>
      </c>
      <c r="C120" s="0" t="s">
        <v>522</v>
      </c>
      <c r="D120" s="0" t="s">
        <v>523</v>
      </c>
      <c r="E120" s="0" t="s">
        <v>531</v>
      </c>
      <c r="F120" s="5" t="s">
        <v>31</v>
      </c>
      <c r="I120" s="5" t="s">
        <v>493</v>
      </c>
    </row>
    <row r="121" customFormat="false" ht="14.25" hidden="false" customHeight="true" outlineLevel="0" collapsed="false">
      <c r="A121" s="0" t="s">
        <v>439</v>
      </c>
      <c r="B121" s="5" t="s">
        <v>10</v>
      </c>
      <c r="C121" s="0" t="s">
        <v>518</v>
      </c>
      <c r="D121" s="0" t="s">
        <v>519</v>
      </c>
      <c r="E121" s="0" t="s">
        <v>608</v>
      </c>
      <c r="F121" s="5" t="s">
        <v>31</v>
      </c>
      <c r="I121" s="5" t="s">
        <v>493</v>
      </c>
    </row>
    <row r="122" customFormat="false" ht="14.25" hidden="false" customHeight="true" outlineLevel="0" collapsed="false">
      <c r="A122" s="0" t="s">
        <v>441</v>
      </c>
      <c r="B122" s="5" t="s">
        <v>10</v>
      </c>
      <c r="C122" s="0" t="s">
        <v>522</v>
      </c>
      <c r="D122" s="0" t="s">
        <v>523</v>
      </c>
      <c r="E122" s="0" t="s">
        <v>609</v>
      </c>
      <c r="F122" s="5" t="s">
        <v>31</v>
      </c>
      <c r="I122" s="5" t="s">
        <v>493</v>
      </c>
    </row>
    <row r="123" customFormat="false" ht="14.25" hidden="false" customHeight="true" outlineLevel="0" collapsed="false">
      <c r="A123" s="0" t="s">
        <v>441</v>
      </c>
      <c r="B123" s="5" t="s">
        <v>10</v>
      </c>
      <c r="C123" s="0" t="s">
        <v>518</v>
      </c>
      <c r="D123" s="0" t="s">
        <v>519</v>
      </c>
      <c r="E123" s="0" t="s">
        <v>610</v>
      </c>
      <c r="F123" s="5" t="s">
        <v>31</v>
      </c>
      <c r="I123" s="5" t="s">
        <v>493</v>
      </c>
    </row>
    <row r="124" customFormat="false" ht="14.25" hidden="false" customHeight="true" outlineLevel="0" collapsed="false">
      <c r="A124" s="0" t="s">
        <v>443</v>
      </c>
      <c r="B124" s="5" t="s">
        <v>10</v>
      </c>
      <c r="C124" s="0" t="s">
        <v>522</v>
      </c>
      <c r="D124" s="0" t="s">
        <v>523</v>
      </c>
      <c r="E124" s="0" t="s">
        <v>611</v>
      </c>
      <c r="F124" s="5" t="s">
        <v>31</v>
      </c>
      <c r="I124" s="5" t="s">
        <v>493</v>
      </c>
    </row>
    <row r="125" customFormat="false" ht="14.25" hidden="false" customHeight="true" outlineLevel="0" collapsed="false">
      <c r="A125" s="0" t="s">
        <v>443</v>
      </c>
      <c r="B125" s="5" t="s">
        <v>10</v>
      </c>
      <c r="C125" s="0" t="s">
        <v>518</v>
      </c>
      <c r="D125" s="0" t="s">
        <v>519</v>
      </c>
      <c r="E125" s="0" t="s">
        <v>612</v>
      </c>
      <c r="F125" s="5" t="s">
        <v>31</v>
      </c>
      <c r="I125" s="5" t="s">
        <v>493</v>
      </c>
    </row>
    <row r="126" customFormat="false" ht="14.25" hidden="false" customHeight="true" outlineLevel="0" collapsed="false">
      <c r="A126" s="0" t="s">
        <v>445</v>
      </c>
      <c r="B126" s="5" t="s">
        <v>10</v>
      </c>
      <c r="C126" s="0" t="s">
        <v>522</v>
      </c>
      <c r="D126" s="0" t="s">
        <v>523</v>
      </c>
      <c r="E126" s="0" t="s">
        <v>613</v>
      </c>
      <c r="F126" s="5" t="s">
        <v>31</v>
      </c>
      <c r="I126" s="5" t="s">
        <v>493</v>
      </c>
    </row>
    <row r="127" customFormat="false" ht="14.25" hidden="false" customHeight="true" outlineLevel="0" collapsed="false">
      <c r="A127" s="0" t="s">
        <v>445</v>
      </c>
      <c r="B127" s="5" t="s">
        <v>10</v>
      </c>
      <c r="C127" s="0" t="s">
        <v>518</v>
      </c>
      <c r="D127" s="0" t="s">
        <v>519</v>
      </c>
      <c r="E127" s="0" t="s">
        <v>614</v>
      </c>
      <c r="F127" s="5" t="s">
        <v>31</v>
      </c>
      <c r="I127" s="5" t="s">
        <v>493</v>
      </c>
    </row>
    <row r="128" customFormat="false" ht="14.25" hidden="false" customHeight="true" outlineLevel="0" collapsed="false">
      <c r="A128" s="0" t="s">
        <v>447</v>
      </c>
      <c r="B128" s="5" t="s">
        <v>10</v>
      </c>
      <c r="C128" s="0" t="s">
        <v>522</v>
      </c>
      <c r="D128" s="0" t="s">
        <v>523</v>
      </c>
      <c r="E128" s="0" t="s">
        <v>615</v>
      </c>
      <c r="F128" s="5" t="s">
        <v>31</v>
      </c>
      <c r="I128" s="5" t="s">
        <v>493</v>
      </c>
    </row>
    <row r="129" customFormat="false" ht="14.25" hidden="false" customHeight="true" outlineLevel="0" collapsed="false">
      <c r="A129" s="0" t="s">
        <v>447</v>
      </c>
      <c r="B129" s="5" t="s">
        <v>10</v>
      </c>
      <c r="C129" s="0" t="s">
        <v>518</v>
      </c>
      <c r="D129" s="0" t="s">
        <v>519</v>
      </c>
      <c r="E129" s="0" t="s">
        <v>616</v>
      </c>
      <c r="F129" s="5" t="s">
        <v>31</v>
      </c>
      <c r="I129" s="5" t="s">
        <v>493</v>
      </c>
    </row>
    <row r="130" customFormat="false" ht="14.25" hidden="false" customHeight="true" outlineLevel="0" collapsed="false">
      <c r="A130" s="0" t="s">
        <v>449</v>
      </c>
      <c r="B130" s="5" t="s">
        <v>10</v>
      </c>
      <c r="C130" s="0" t="s">
        <v>522</v>
      </c>
      <c r="D130" s="0" t="s">
        <v>523</v>
      </c>
      <c r="E130" s="0" t="s">
        <v>617</v>
      </c>
      <c r="F130" s="5" t="s">
        <v>31</v>
      </c>
      <c r="I130" s="5" t="s">
        <v>493</v>
      </c>
    </row>
    <row r="131" customFormat="false" ht="14.25" hidden="false" customHeight="true" outlineLevel="0" collapsed="false">
      <c r="A131" s="0" t="s">
        <v>449</v>
      </c>
      <c r="B131" s="5" t="s">
        <v>10</v>
      </c>
      <c r="C131" s="0" t="s">
        <v>518</v>
      </c>
      <c r="D131" s="0" t="s">
        <v>519</v>
      </c>
      <c r="E131" s="0" t="s">
        <v>618</v>
      </c>
      <c r="F131" s="5" t="s">
        <v>31</v>
      </c>
      <c r="I131" s="5" t="s">
        <v>493</v>
      </c>
    </row>
    <row r="132" customFormat="false" ht="14.25" hidden="false" customHeight="true" outlineLevel="0" collapsed="false">
      <c r="A132" s="0" t="s">
        <v>451</v>
      </c>
      <c r="B132" s="5" t="s">
        <v>10</v>
      </c>
      <c r="C132" s="0" t="s">
        <v>522</v>
      </c>
      <c r="D132" s="0" t="s">
        <v>523</v>
      </c>
      <c r="E132" s="0" t="s">
        <v>571</v>
      </c>
      <c r="F132" s="5" t="s">
        <v>31</v>
      </c>
      <c r="I132" s="5" t="s">
        <v>493</v>
      </c>
    </row>
    <row r="133" customFormat="false" ht="14.25" hidden="false" customHeight="true" outlineLevel="0" collapsed="false">
      <c r="A133" s="0" t="s">
        <v>451</v>
      </c>
      <c r="B133" s="5" t="s">
        <v>10</v>
      </c>
      <c r="C133" s="0" t="s">
        <v>518</v>
      </c>
      <c r="D133" s="0" t="s">
        <v>519</v>
      </c>
      <c r="E133" s="0" t="s">
        <v>619</v>
      </c>
      <c r="F133" s="5" t="s">
        <v>31</v>
      </c>
      <c r="I133" s="5" t="s">
        <v>493</v>
      </c>
    </row>
    <row r="134" customFormat="false" ht="14.25" hidden="false" customHeight="true" outlineLevel="0" collapsed="false">
      <c r="A134" s="0" t="s">
        <v>453</v>
      </c>
      <c r="B134" s="5" t="s">
        <v>10</v>
      </c>
      <c r="C134" s="0" t="s">
        <v>490</v>
      </c>
      <c r="D134" s="0" t="s">
        <v>491</v>
      </c>
      <c r="E134" s="0" t="s">
        <v>620</v>
      </c>
      <c r="F134" s="5" t="s">
        <v>31</v>
      </c>
      <c r="I134" s="5" t="s">
        <v>493</v>
      </c>
    </row>
    <row r="135" customFormat="false" ht="14.25" hidden="false" customHeight="true" outlineLevel="0" collapsed="false">
      <c r="A135" s="0" t="s">
        <v>453</v>
      </c>
      <c r="B135" s="5" t="s">
        <v>10</v>
      </c>
      <c r="C135" s="0" t="s">
        <v>522</v>
      </c>
      <c r="D135" s="0" t="s">
        <v>523</v>
      </c>
      <c r="E135" s="0" t="s">
        <v>621</v>
      </c>
      <c r="F135" s="5" t="s">
        <v>31</v>
      </c>
      <c r="I135" s="5" t="s">
        <v>493</v>
      </c>
    </row>
    <row r="136" customFormat="false" ht="14.25" hidden="false" customHeight="true" outlineLevel="0" collapsed="false">
      <c r="A136" s="0" t="s">
        <v>453</v>
      </c>
      <c r="B136" s="5" t="s">
        <v>10</v>
      </c>
      <c r="C136" s="0" t="s">
        <v>518</v>
      </c>
      <c r="D136" s="0" t="s">
        <v>519</v>
      </c>
      <c r="E136" s="0" t="s">
        <v>622</v>
      </c>
      <c r="F136" s="5" t="s">
        <v>31</v>
      </c>
      <c r="I136" s="5" t="s">
        <v>493</v>
      </c>
    </row>
    <row r="137" customFormat="false" ht="14.25" hidden="false" customHeight="true" outlineLevel="0" collapsed="false">
      <c r="A137" s="0" t="s">
        <v>455</v>
      </c>
      <c r="B137" s="5" t="s">
        <v>10</v>
      </c>
      <c r="C137" s="0" t="s">
        <v>490</v>
      </c>
      <c r="D137" s="0" t="s">
        <v>491</v>
      </c>
      <c r="E137" s="0" t="s">
        <v>623</v>
      </c>
      <c r="F137" s="5" t="s">
        <v>31</v>
      </c>
      <c r="I137" s="5" t="s">
        <v>493</v>
      </c>
    </row>
    <row r="138" customFormat="false" ht="14.25" hidden="false" customHeight="true" outlineLevel="0" collapsed="false">
      <c r="A138" s="0" t="s">
        <v>455</v>
      </c>
      <c r="B138" s="5" t="s">
        <v>10</v>
      </c>
      <c r="C138" s="0" t="s">
        <v>522</v>
      </c>
      <c r="D138" s="0" t="s">
        <v>523</v>
      </c>
      <c r="E138" s="0" t="s">
        <v>527</v>
      </c>
      <c r="F138" s="5" t="s">
        <v>31</v>
      </c>
      <c r="I138" s="5" t="s">
        <v>493</v>
      </c>
    </row>
    <row r="139" customFormat="false" ht="14.25" hidden="false" customHeight="true" outlineLevel="0" collapsed="false">
      <c r="A139" s="0" t="s">
        <v>455</v>
      </c>
      <c r="B139" s="5" t="s">
        <v>10</v>
      </c>
      <c r="C139" s="0" t="s">
        <v>518</v>
      </c>
      <c r="D139" s="0" t="s">
        <v>519</v>
      </c>
      <c r="E139" s="0" t="s">
        <v>624</v>
      </c>
      <c r="F139" s="5" t="s">
        <v>31</v>
      </c>
      <c r="I139" s="5" t="s">
        <v>493</v>
      </c>
    </row>
    <row r="140" customFormat="false" ht="14.25" hidden="false" customHeight="true" outlineLevel="0" collapsed="false">
      <c r="A140" s="0" t="s">
        <v>457</v>
      </c>
      <c r="B140" s="5" t="s">
        <v>10</v>
      </c>
      <c r="C140" s="0" t="s">
        <v>490</v>
      </c>
      <c r="D140" s="0" t="s">
        <v>491</v>
      </c>
      <c r="E140" s="0" t="s">
        <v>625</v>
      </c>
      <c r="F140" s="5" t="s">
        <v>31</v>
      </c>
      <c r="I140" s="5" t="s">
        <v>493</v>
      </c>
    </row>
    <row r="141" customFormat="false" ht="14.25" hidden="false" customHeight="true" outlineLevel="0" collapsed="false">
      <c r="A141" s="0" t="s">
        <v>457</v>
      </c>
      <c r="B141" s="5" t="s">
        <v>10</v>
      </c>
      <c r="C141" s="0" t="s">
        <v>522</v>
      </c>
      <c r="D141" s="0" t="s">
        <v>523</v>
      </c>
      <c r="E141" s="0" t="s">
        <v>626</v>
      </c>
      <c r="F141" s="5" t="s">
        <v>31</v>
      </c>
      <c r="I141" s="5" t="s">
        <v>493</v>
      </c>
    </row>
    <row r="142" customFormat="false" ht="14.25" hidden="false" customHeight="true" outlineLevel="0" collapsed="false">
      <c r="A142" s="0" t="s">
        <v>457</v>
      </c>
      <c r="B142" s="5" t="s">
        <v>10</v>
      </c>
      <c r="C142" s="0" t="s">
        <v>518</v>
      </c>
      <c r="D142" s="0" t="s">
        <v>519</v>
      </c>
      <c r="E142" s="0" t="s">
        <v>627</v>
      </c>
      <c r="F142" s="5" t="s">
        <v>31</v>
      </c>
      <c r="I142" s="5" t="s">
        <v>493</v>
      </c>
    </row>
    <row r="143" customFormat="false" ht="14.25" hidden="false" customHeight="true" outlineLevel="0" collapsed="false">
      <c r="A143" s="0" t="s">
        <v>459</v>
      </c>
      <c r="B143" s="5" t="s">
        <v>10</v>
      </c>
      <c r="C143" s="0" t="s">
        <v>490</v>
      </c>
      <c r="D143" s="0" t="s">
        <v>491</v>
      </c>
      <c r="E143" s="0" t="s">
        <v>628</v>
      </c>
      <c r="F143" s="5" t="s">
        <v>31</v>
      </c>
      <c r="I143" s="5" t="s">
        <v>493</v>
      </c>
    </row>
    <row r="144" customFormat="false" ht="14.25" hidden="false" customHeight="true" outlineLevel="0" collapsed="false">
      <c r="A144" s="0" t="s">
        <v>459</v>
      </c>
      <c r="B144" s="5" t="s">
        <v>10</v>
      </c>
      <c r="C144" s="0" t="s">
        <v>522</v>
      </c>
      <c r="D144" s="0" t="s">
        <v>523</v>
      </c>
      <c r="E144" s="0" t="s">
        <v>629</v>
      </c>
      <c r="F144" s="5" t="s">
        <v>31</v>
      </c>
      <c r="I144" s="5" t="s">
        <v>493</v>
      </c>
    </row>
    <row r="145" customFormat="false" ht="14.25" hidden="false" customHeight="true" outlineLevel="0" collapsed="false">
      <c r="A145" s="0" t="s">
        <v>459</v>
      </c>
      <c r="B145" s="5" t="s">
        <v>10</v>
      </c>
      <c r="C145" s="0" t="s">
        <v>518</v>
      </c>
      <c r="D145" s="0" t="s">
        <v>519</v>
      </c>
      <c r="E145" s="0" t="s">
        <v>630</v>
      </c>
      <c r="F145" s="5" t="s">
        <v>31</v>
      </c>
      <c r="I145" s="5" t="s">
        <v>493</v>
      </c>
    </row>
    <row r="146" customFormat="false" ht="14.25" hidden="false" customHeight="true" outlineLevel="0" collapsed="false">
      <c r="A146" s="0" t="s">
        <v>461</v>
      </c>
      <c r="B146" s="5" t="s">
        <v>10</v>
      </c>
      <c r="C146" s="0" t="s">
        <v>490</v>
      </c>
      <c r="D146" s="0" t="s">
        <v>491</v>
      </c>
      <c r="E146" s="0" t="s">
        <v>631</v>
      </c>
      <c r="F146" s="5" t="s">
        <v>31</v>
      </c>
      <c r="I146" s="5" t="s">
        <v>493</v>
      </c>
    </row>
    <row r="147" customFormat="false" ht="14.25" hidden="false" customHeight="true" outlineLevel="0" collapsed="false">
      <c r="A147" s="0" t="s">
        <v>461</v>
      </c>
      <c r="B147" s="5" t="s">
        <v>10</v>
      </c>
      <c r="C147" s="0" t="s">
        <v>522</v>
      </c>
      <c r="D147" s="0" t="s">
        <v>523</v>
      </c>
      <c r="E147" s="0" t="s">
        <v>632</v>
      </c>
      <c r="F147" s="5" t="s">
        <v>31</v>
      </c>
      <c r="I147" s="5" t="s">
        <v>493</v>
      </c>
    </row>
    <row r="148" customFormat="false" ht="14.25" hidden="false" customHeight="true" outlineLevel="0" collapsed="false">
      <c r="A148" s="0" t="s">
        <v>461</v>
      </c>
      <c r="B148" s="5" t="s">
        <v>10</v>
      </c>
      <c r="C148" s="0" t="s">
        <v>518</v>
      </c>
      <c r="D148" s="0" t="s">
        <v>519</v>
      </c>
      <c r="E148" s="0" t="s">
        <v>633</v>
      </c>
      <c r="F148" s="5" t="s">
        <v>31</v>
      </c>
      <c r="I148" s="5" t="s">
        <v>493</v>
      </c>
    </row>
    <row r="149" customFormat="false" ht="14.25" hidden="false" customHeight="true" outlineLevel="0" collapsed="false">
      <c r="A149" s="0" t="s">
        <v>463</v>
      </c>
      <c r="B149" s="5" t="s">
        <v>10</v>
      </c>
      <c r="C149" s="0" t="s">
        <v>490</v>
      </c>
      <c r="D149" s="0" t="s">
        <v>491</v>
      </c>
      <c r="E149" s="0" t="s">
        <v>634</v>
      </c>
      <c r="F149" s="5" t="s">
        <v>31</v>
      </c>
      <c r="I149" s="5" t="s">
        <v>493</v>
      </c>
    </row>
    <row r="150" customFormat="false" ht="14.25" hidden="false" customHeight="true" outlineLevel="0" collapsed="false">
      <c r="A150" s="0" t="s">
        <v>463</v>
      </c>
      <c r="B150" s="5" t="s">
        <v>10</v>
      </c>
      <c r="C150" s="0" t="s">
        <v>522</v>
      </c>
      <c r="D150" s="0" t="s">
        <v>523</v>
      </c>
      <c r="E150" s="0" t="s">
        <v>635</v>
      </c>
      <c r="F150" s="5" t="s">
        <v>31</v>
      </c>
      <c r="I150" s="5" t="s">
        <v>493</v>
      </c>
    </row>
    <row r="151" customFormat="false" ht="14.25" hidden="false" customHeight="true" outlineLevel="0" collapsed="false">
      <c r="A151" s="0" t="s">
        <v>463</v>
      </c>
      <c r="B151" s="5" t="s">
        <v>10</v>
      </c>
      <c r="C151" s="0" t="s">
        <v>518</v>
      </c>
      <c r="D151" s="0" t="s">
        <v>519</v>
      </c>
      <c r="E151" s="0" t="s">
        <v>636</v>
      </c>
      <c r="F151" s="5" t="s">
        <v>31</v>
      </c>
      <c r="I151" s="5" t="s">
        <v>493</v>
      </c>
    </row>
    <row r="152" customFormat="false" ht="14.25" hidden="false" customHeight="true" outlineLevel="0" collapsed="false">
      <c r="A152" s="0" t="s">
        <v>465</v>
      </c>
      <c r="B152" s="5" t="s">
        <v>10</v>
      </c>
      <c r="C152" s="0" t="s">
        <v>490</v>
      </c>
      <c r="D152" s="0" t="s">
        <v>491</v>
      </c>
      <c r="E152" s="0" t="s">
        <v>637</v>
      </c>
      <c r="F152" s="5" t="s">
        <v>31</v>
      </c>
      <c r="I152" s="5" t="s">
        <v>493</v>
      </c>
    </row>
    <row r="153" customFormat="false" ht="14.25" hidden="false" customHeight="true" outlineLevel="0" collapsed="false">
      <c r="A153" s="0" t="s">
        <v>465</v>
      </c>
      <c r="B153" s="5" t="s">
        <v>10</v>
      </c>
      <c r="C153" s="0" t="s">
        <v>522</v>
      </c>
      <c r="D153" s="0" t="s">
        <v>523</v>
      </c>
      <c r="E153" s="0" t="s">
        <v>638</v>
      </c>
      <c r="F153" s="5" t="s">
        <v>31</v>
      </c>
      <c r="I153" s="5" t="s">
        <v>493</v>
      </c>
    </row>
    <row r="154" customFormat="false" ht="14.25" hidden="false" customHeight="true" outlineLevel="0" collapsed="false">
      <c r="A154" s="0" t="s">
        <v>465</v>
      </c>
      <c r="B154" s="5" t="s">
        <v>10</v>
      </c>
      <c r="C154" s="0" t="s">
        <v>518</v>
      </c>
      <c r="D154" s="0" t="s">
        <v>519</v>
      </c>
      <c r="E154" s="0" t="s">
        <v>639</v>
      </c>
      <c r="F154" s="5" t="s">
        <v>31</v>
      </c>
      <c r="I154" s="5" t="s">
        <v>493</v>
      </c>
    </row>
    <row r="155" customFormat="false" ht="14.25" hidden="false" customHeight="true" outlineLevel="0" collapsed="false">
      <c r="A155" s="0" t="s">
        <v>467</v>
      </c>
      <c r="B155" s="5" t="s">
        <v>10</v>
      </c>
      <c r="C155" s="0" t="s">
        <v>490</v>
      </c>
      <c r="D155" s="0" t="s">
        <v>491</v>
      </c>
      <c r="E155" s="0" t="s">
        <v>640</v>
      </c>
      <c r="F155" s="5" t="s">
        <v>31</v>
      </c>
      <c r="I155" s="5" t="s">
        <v>493</v>
      </c>
    </row>
    <row r="156" customFormat="false" ht="14.25" hidden="false" customHeight="true" outlineLevel="0" collapsed="false">
      <c r="A156" s="0" t="s">
        <v>467</v>
      </c>
      <c r="B156" s="5" t="s">
        <v>10</v>
      </c>
      <c r="C156" s="0" t="s">
        <v>522</v>
      </c>
      <c r="D156" s="0" t="s">
        <v>523</v>
      </c>
      <c r="E156" s="0" t="s">
        <v>641</v>
      </c>
      <c r="F156" s="5" t="s">
        <v>31</v>
      </c>
      <c r="I156" s="5" t="s">
        <v>493</v>
      </c>
    </row>
    <row r="157" customFormat="false" ht="14.25" hidden="false" customHeight="true" outlineLevel="0" collapsed="false">
      <c r="A157" s="0" t="s">
        <v>467</v>
      </c>
      <c r="B157" s="5" t="s">
        <v>10</v>
      </c>
      <c r="C157" s="0" t="s">
        <v>518</v>
      </c>
      <c r="D157" s="0" t="s">
        <v>519</v>
      </c>
      <c r="E157" s="0" t="s">
        <v>642</v>
      </c>
      <c r="F157" s="5" t="s">
        <v>31</v>
      </c>
      <c r="I157" s="5" t="s">
        <v>493</v>
      </c>
    </row>
    <row r="158" customFormat="false" ht="14.25" hidden="false" customHeight="true" outlineLevel="0" collapsed="false">
      <c r="A158" s="0" t="s">
        <v>469</v>
      </c>
      <c r="B158" s="5" t="s">
        <v>10</v>
      </c>
      <c r="C158" s="0" t="s">
        <v>490</v>
      </c>
      <c r="D158" s="0" t="s">
        <v>491</v>
      </c>
      <c r="E158" s="0" t="s">
        <v>643</v>
      </c>
      <c r="F158" s="5" t="s">
        <v>31</v>
      </c>
      <c r="I158" s="5" t="s">
        <v>493</v>
      </c>
    </row>
    <row r="159" customFormat="false" ht="14.25" hidden="false" customHeight="true" outlineLevel="0" collapsed="false">
      <c r="A159" s="0" t="s">
        <v>469</v>
      </c>
      <c r="B159" s="5" t="s">
        <v>10</v>
      </c>
      <c r="C159" s="0" t="s">
        <v>522</v>
      </c>
      <c r="D159" s="0" t="s">
        <v>523</v>
      </c>
      <c r="E159" s="0" t="s">
        <v>644</v>
      </c>
      <c r="F159" s="5" t="s">
        <v>31</v>
      </c>
      <c r="I159" s="5" t="s">
        <v>493</v>
      </c>
    </row>
    <row r="160" customFormat="false" ht="14.25" hidden="false" customHeight="true" outlineLevel="0" collapsed="false">
      <c r="A160" s="0" t="s">
        <v>469</v>
      </c>
      <c r="B160" s="5" t="s">
        <v>10</v>
      </c>
      <c r="C160" s="0" t="s">
        <v>518</v>
      </c>
      <c r="D160" s="0" t="s">
        <v>519</v>
      </c>
      <c r="E160" s="0" t="s">
        <v>645</v>
      </c>
      <c r="F160" s="5" t="s">
        <v>31</v>
      </c>
      <c r="I160" s="5" t="s">
        <v>493</v>
      </c>
    </row>
    <row r="161" customFormat="false" ht="14.25" hidden="false" customHeight="true" outlineLevel="0" collapsed="false">
      <c r="A161" s="0" t="s">
        <v>471</v>
      </c>
      <c r="B161" s="5" t="s">
        <v>10</v>
      </c>
      <c r="C161" s="0" t="s">
        <v>490</v>
      </c>
      <c r="D161" s="0" t="s">
        <v>491</v>
      </c>
      <c r="E161" s="0" t="s">
        <v>600</v>
      </c>
      <c r="F161" s="5" t="s">
        <v>31</v>
      </c>
      <c r="I161" s="5" t="s">
        <v>493</v>
      </c>
    </row>
    <row r="162" customFormat="false" ht="14.25" hidden="false" customHeight="true" outlineLevel="0" collapsed="false">
      <c r="A162" s="0" t="s">
        <v>471</v>
      </c>
      <c r="B162" s="5" t="s">
        <v>10</v>
      </c>
      <c r="C162" s="0" t="s">
        <v>522</v>
      </c>
      <c r="D162" s="0" t="s">
        <v>523</v>
      </c>
      <c r="E162" s="0" t="s">
        <v>646</v>
      </c>
      <c r="F162" s="5" t="s">
        <v>31</v>
      </c>
      <c r="I162" s="5" t="s">
        <v>493</v>
      </c>
    </row>
    <row r="163" customFormat="false" ht="14.25" hidden="false" customHeight="true" outlineLevel="0" collapsed="false">
      <c r="A163" s="0" t="s">
        <v>471</v>
      </c>
      <c r="B163" s="5" t="s">
        <v>10</v>
      </c>
      <c r="C163" s="0" t="s">
        <v>518</v>
      </c>
      <c r="D163" s="0" t="s">
        <v>519</v>
      </c>
      <c r="E163" s="0" t="s">
        <v>611</v>
      </c>
      <c r="F163" s="5" t="s">
        <v>31</v>
      </c>
      <c r="I163" s="5" t="s">
        <v>493</v>
      </c>
    </row>
    <row r="164" customFormat="false" ht="14.25" hidden="false" customHeight="true" outlineLevel="0" collapsed="false">
      <c r="A164" s="0" t="s">
        <v>473</v>
      </c>
      <c r="B164" s="5" t="s">
        <v>10</v>
      </c>
      <c r="C164" s="0" t="s">
        <v>490</v>
      </c>
      <c r="D164" s="0" t="s">
        <v>491</v>
      </c>
      <c r="E164" s="0" t="s">
        <v>647</v>
      </c>
      <c r="F164" s="5" t="s">
        <v>31</v>
      </c>
      <c r="I164" s="5" t="s">
        <v>493</v>
      </c>
    </row>
    <row r="165" customFormat="false" ht="14.25" hidden="false" customHeight="true" outlineLevel="0" collapsed="false">
      <c r="A165" s="0" t="s">
        <v>473</v>
      </c>
      <c r="B165" s="5" t="s">
        <v>10</v>
      </c>
      <c r="C165" s="0" t="s">
        <v>522</v>
      </c>
      <c r="D165" s="0" t="s">
        <v>523</v>
      </c>
      <c r="E165" s="0" t="s">
        <v>641</v>
      </c>
      <c r="F165" s="5" t="s">
        <v>31</v>
      </c>
      <c r="I165" s="5" t="s">
        <v>493</v>
      </c>
    </row>
    <row r="166" customFormat="false" ht="14.25" hidden="false" customHeight="true" outlineLevel="0" collapsed="false">
      <c r="A166" s="0" t="s">
        <v>473</v>
      </c>
      <c r="B166" s="5" t="s">
        <v>10</v>
      </c>
      <c r="C166" s="0" t="s">
        <v>518</v>
      </c>
      <c r="D166" s="0" t="s">
        <v>519</v>
      </c>
      <c r="E166" s="0" t="s">
        <v>648</v>
      </c>
      <c r="F166" s="5" t="s">
        <v>31</v>
      </c>
      <c r="I166" s="5" t="s">
        <v>493</v>
      </c>
    </row>
    <row r="167" customFormat="false" ht="14.25" hidden="false" customHeight="true" outlineLevel="0" collapsed="false">
      <c r="A167" s="0" t="s">
        <v>465</v>
      </c>
      <c r="B167" s="5" t="s">
        <v>11</v>
      </c>
      <c r="C167" s="0" t="s">
        <v>649</v>
      </c>
      <c r="D167" s="0" t="s">
        <v>523</v>
      </c>
      <c r="E167" s="0" t="s">
        <v>638</v>
      </c>
      <c r="F167" s="5" t="s">
        <v>31</v>
      </c>
      <c r="I167" s="6" t="s">
        <v>650</v>
      </c>
    </row>
    <row r="168" customFormat="false" ht="14.25" hidden="false" customHeight="true" outlineLevel="0" collapsed="false">
      <c r="A168" s="0" t="s">
        <v>465</v>
      </c>
      <c r="B168" s="5" t="s">
        <v>11</v>
      </c>
      <c r="C168" s="0" t="s">
        <v>649</v>
      </c>
      <c r="D168" s="0" t="s">
        <v>519</v>
      </c>
      <c r="E168" s="0" t="s">
        <v>639</v>
      </c>
      <c r="F168" s="5" t="s">
        <v>31</v>
      </c>
      <c r="I168" s="6" t="s">
        <v>650</v>
      </c>
    </row>
    <row r="169" customFormat="false" ht="14.25" hidden="false" customHeight="true" outlineLevel="0" collapsed="false">
      <c r="A169" s="0" t="s">
        <v>467</v>
      </c>
      <c r="B169" s="5" t="s">
        <v>11</v>
      </c>
      <c r="C169" s="0" t="s">
        <v>649</v>
      </c>
      <c r="D169" s="0" t="s">
        <v>491</v>
      </c>
      <c r="E169" s="0" t="s">
        <v>640</v>
      </c>
      <c r="F169" s="5" t="s">
        <v>31</v>
      </c>
      <c r="I169" s="6" t="s">
        <v>650</v>
      </c>
    </row>
    <row r="170" customFormat="false" ht="14.25" hidden="false" customHeight="true" outlineLevel="0" collapsed="false">
      <c r="A170" s="0" t="s">
        <v>467</v>
      </c>
      <c r="B170" s="5" t="s">
        <v>11</v>
      </c>
      <c r="C170" s="0" t="s">
        <v>649</v>
      </c>
      <c r="D170" s="0" t="s">
        <v>523</v>
      </c>
      <c r="E170" s="0" t="s">
        <v>641</v>
      </c>
      <c r="F170" s="5" t="s">
        <v>31</v>
      </c>
      <c r="I170" s="6" t="s">
        <v>650</v>
      </c>
    </row>
    <row r="171" customFormat="false" ht="14.25" hidden="false" customHeight="true" outlineLevel="0" collapsed="false">
      <c r="A171" s="0" t="s">
        <v>467</v>
      </c>
      <c r="B171" s="5" t="s">
        <v>11</v>
      </c>
      <c r="C171" s="0" t="s">
        <v>649</v>
      </c>
      <c r="D171" s="0" t="s">
        <v>519</v>
      </c>
      <c r="E171" s="0" t="s">
        <v>642</v>
      </c>
      <c r="F171" s="5" t="s">
        <v>31</v>
      </c>
      <c r="I171" s="6" t="s">
        <v>650</v>
      </c>
    </row>
    <row r="172" customFormat="false" ht="14.25" hidden="false" customHeight="true" outlineLevel="0" collapsed="false">
      <c r="A172" s="0" t="s">
        <v>469</v>
      </c>
      <c r="B172" s="5" t="s">
        <v>11</v>
      </c>
      <c r="C172" s="0" t="s">
        <v>649</v>
      </c>
      <c r="D172" s="0" t="s">
        <v>491</v>
      </c>
      <c r="E172" s="0" t="s">
        <v>643</v>
      </c>
      <c r="F172" s="5" t="s">
        <v>31</v>
      </c>
      <c r="I172" s="6" t="s">
        <v>650</v>
      </c>
    </row>
    <row r="173" customFormat="false" ht="14.25" hidden="false" customHeight="true" outlineLevel="0" collapsed="false">
      <c r="A173" s="0" t="s">
        <v>469</v>
      </c>
      <c r="B173" s="5" t="s">
        <v>11</v>
      </c>
      <c r="C173" s="0" t="s">
        <v>649</v>
      </c>
      <c r="D173" s="0" t="s">
        <v>523</v>
      </c>
      <c r="E173" s="0" t="s">
        <v>644</v>
      </c>
      <c r="F173" s="5" t="s">
        <v>31</v>
      </c>
      <c r="I173" s="6" t="s">
        <v>650</v>
      </c>
    </row>
    <row r="174" customFormat="false" ht="14.25" hidden="false" customHeight="true" outlineLevel="0" collapsed="false">
      <c r="A174" s="0" t="s">
        <v>469</v>
      </c>
      <c r="B174" s="5" t="s">
        <v>11</v>
      </c>
      <c r="C174" s="0" t="s">
        <v>649</v>
      </c>
      <c r="D174" s="0" t="s">
        <v>519</v>
      </c>
      <c r="E174" s="0" t="s">
        <v>645</v>
      </c>
      <c r="F174" s="5" t="s">
        <v>31</v>
      </c>
      <c r="I174" s="6" t="s">
        <v>650</v>
      </c>
    </row>
    <row r="175" customFormat="false" ht="14.25" hidden="false" customHeight="true" outlineLevel="0" collapsed="false">
      <c r="A175" s="0" t="s">
        <v>471</v>
      </c>
      <c r="B175" s="5" t="s">
        <v>11</v>
      </c>
      <c r="C175" s="0" t="s">
        <v>649</v>
      </c>
      <c r="D175" s="0" t="s">
        <v>491</v>
      </c>
      <c r="E175" s="0" t="s">
        <v>600</v>
      </c>
      <c r="F175" s="5" t="s">
        <v>31</v>
      </c>
      <c r="I175" s="6" t="s">
        <v>650</v>
      </c>
    </row>
    <row r="176" customFormat="false" ht="14.25" hidden="false" customHeight="true" outlineLevel="0" collapsed="false">
      <c r="A176" s="0" t="s">
        <v>471</v>
      </c>
      <c r="B176" s="5" t="s">
        <v>11</v>
      </c>
      <c r="C176" s="0" t="s">
        <v>649</v>
      </c>
      <c r="D176" s="0" t="s">
        <v>523</v>
      </c>
      <c r="E176" s="0" t="s">
        <v>646</v>
      </c>
      <c r="F176" s="5" t="s">
        <v>31</v>
      </c>
      <c r="I176" s="6" t="s">
        <v>650</v>
      </c>
    </row>
    <row r="177" customFormat="false" ht="14.25" hidden="false" customHeight="true" outlineLevel="0" collapsed="false">
      <c r="A177" s="0" t="s">
        <v>471</v>
      </c>
      <c r="B177" s="5" t="s">
        <v>11</v>
      </c>
      <c r="C177" s="0" t="s">
        <v>649</v>
      </c>
      <c r="D177" s="0" t="s">
        <v>519</v>
      </c>
      <c r="E177" s="0" t="s">
        <v>611</v>
      </c>
      <c r="F177" s="5" t="s">
        <v>31</v>
      </c>
      <c r="I177" s="6" t="s">
        <v>650</v>
      </c>
    </row>
    <row r="178" customFormat="false" ht="14.25" hidden="false" customHeight="true" outlineLevel="0" collapsed="false">
      <c r="A178" s="0" t="s">
        <v>473</v>
      </c>
      <c r="B178" s="5" t="s">
        <v>11</v>
      </c>
      <c r="C178" s="0" t="s">
        <v>649</v>
      </c>
      <c r="D178" s="0" t="s">
        <v>491</v>
      </c>
      <c r="E178" s="0" t="s">
        <v>647</v>
      </c>
      <c r="F178" s="5" t="s">
        <v>31</v>
      </c>
      <c r="I178" s="6" t="s">
        <v>650</v>
      </c>
    </row>
    <row r="179" customFormat="false" ht="14.25" hidden="false" customHeight="true" outlineLevel="0" collapsed="false">
      <c r="A179" s="0" t="s">
        <v>473</v>
      </c>
      <c r="B179" s="5" t="s">
        <v>11</v>
      </c>
      <c r="C179" s="0" t="s">
        <v>649</v>
      </c>
      <c r="D179" s="0" t="s">
        <v>523</v>
      </c>
      <c r="E179" s="0" t="s">
        <v>641</v>
      </c>
      <c r="F179" s="5" t="s">
        <v>31</v>
      </c>
      <c r="I179" s="6" t="s">
        <v>650</v>
      </c>
    </row>
    <row r="180" customFormat="false" ht="14.25" hidden="false" customHeight="true" outlineLevel="0" collapsed="false">
      <c r="A180" s="0" t="s">
        <v>473</v>
      </c>
      <c r="B180" s="5" t="s">
        <v>11</v>
      </c>
      <c r="C180" s="0" t="s">
        <v>649</v>
      </c>
      <c r="D180" s="0" t="s">
        <v>519</v>
      </c>
      <c r="E180" s="0" t="s">
        <v>648</v>
      </c>
      <c r="F180" s="5" t="s">
        <v>31</v>
      </c>
      <c r="I180" s="6" t="s">
        <v>650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P166"/>
  <conditionalFormatting sqref="P2:P118">
    <cfRule type="expression" priority="2" aboveAverage="0" equalAverage="0" bottom="0" percent="0" rank="0" text="" dxfId="4">
      <formula>P2="N"</formula>
    </cfRule>
  </conditionalFormatting>
  <dataValidations count="1">
    <dataValidation allowBlank="false" errorStyle="stop" operator="between" showDropDown="false" showErrorMessage="false" showInputMessage="false" sqref="P2:P118" type="list">
      <formula1>"Y,N"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238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2026-04-16T08:12:10Z</dcterms:created>
  <dc:creator>Abdulrahman Alhosani, Sarah</dc:creator>
  <dc:description/>
  <dc:language>en-US</dc:language>
  <cp:lastModifiedBy/>
  <dcterms:modified xsi:type="dcterms:W3CDTF">2026-04-27T15:50:58Z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