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ral" sheetId="1" state="visible" r:id="rId3"/>
    <sheet name="Cost" sheetId="2" state="visible" r:id="rId4"/>
  </sheets>
  <externalReferences>
    <externalReference r:id="rId5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<sst xmlns="http://schemas.openxmlformats.org/spreadsheetml/2006/main" count="307" uniqueCount="130">
  <si>
    <t xml:space="preserve">Project ID</t>
  </si>
  <si>
    <t xml:space="preserve">Project Name</t>
  </si>
  <si>
    <t xml:space="preserve">Country</t>
  </si>
  <si>
    <t xml:space="preserve">Region</t>
  </si>
  <si>
    <t xml:space="preserve">Project Type</t>
  </si>
  <si>
    <t xml:space="preserve">Contract Type</t>
  </si>
  <si>
    <t xml:space="preserve">Developer / Client</t>
  </si>
  <si>
    <t xml:space="preserve">Counterparty / EPC</t>
  </si>
  <si>
    <t xml:space="preserve">Source Type</t>
  </si>
  <si>
    <t xml:space="preserve">Native Currency</t>
  </si>
  <si>
    <t xml:space="preserve">CAPEX</t>
  </si>
  <si>
    <t xml:space="preserve">OPEX</t>
  </si>
  <si>
    <t xml:space="preserve">EPC Start Year</t>
  </si>
  <si>
    <t xml:space="preserve">COD Year</t>
  </si>
  <si>
    <t xml:space="preserve">DC Capacity MWp</t>
  </si>
  <si>
    <t xml:space="preserve">AC Capacity MW</t>
  </si>
  <si>
    <t xml:space="preserve">Technology</t>
  </si>
  <si>
    <t xml:space="preserve">P50 Yield kWh/kWp</t>
  </si>
  <si>
    <t xml:space="preserve">Status</t>
  </si>
  <si>
    <t xml:space="preserve">Completeness %</t>
  </si>
  <si>
    <t xml:space="preserve">Notes</t>
  </si>
  <si>
    <t xml:space="preserve">EX-001</t>
  </si>
  <si>
    <t xml:space="preserve">Example PV portfolio</t>
  </si>
  <si>
    <t xml:space="preserve">UAE</t>
  </si>
  <si>
    <t xml:space="preserve">Middle East</t>
  </si>
  <si>
    <t xml:space="preserve">Portfolio Group</t>
  </si>
  <si>
    <t xml:space="preserve">O&amp;M</t>
  </si>
  <si>
    <t xml:space="preserve">Client Z</t>
  </si>
  <si>
    <t xml:space="preserve">Multiple</t>
  </si>
  <si>
    <t xml:space="preserve">Contract</t>
  </si>
  <si>
    <t xml:space="preserve">USD</t>
  </si>
  <si>
    <t xml:space="preserve">PV</t>
  </si>
  <si>
    <t xml:space="preserve">Commissioning</t>
  </si>
  <si>
    <t xml:space="preserve">Completeness percentage for the project core data only </t>
  </si>
  <si>
    <t xml:space="preserve">EX-002</t>
  </si>
  <si>
    <t xml:space="preserve">Example PV + BESS</t>
  </si>
  <si>
    <t xml:space="preserve">Saudi Arabia</t>
  </si>
  <si>
    <t xml:space="preserve">PV + BESS</t>
  </si>
  <si>
    <t xml:space="preserve">EPC</t>
  </si>
  <si>
    <t xml:space="preserve">Client X</t>
  </si>
  <si>
    <t xml:space="preserve">Contractor Y</t>
  </si>
  <si>
    <t xml:space="preserve">SAR</t>
  </si>
  <si>
    <t xml:space="preserve">Bid</t>
  </si>
  <si>
    <t xml:space="preserve">Demonstrates hybrid handled via extra cost lines</t>
  </si>
  <si>
    <t xml:space="preserve">EX-003</t>
  </si>
  <si>
    <t xml:space="preserve">Example PV+Wind</t>
  </si>
  <si>
    <t xml:space="preserve">Netherlands</t>
  </si>
  <si>
    <t xml:space="preserve">Europe</t>
  </si>
  <si>
    <t xml:space="preserve">PV+Wind</t>
  </si>
  <si>
    <t xml:space="preserve">TDD</t>
  </si>
  <si>
    <t xml:space="preserve">Client Y</t>
  </si>
  <si>
    <t xml:space="preserve">Contractor Y01</t>
  </si>
  <si>
    <t xml:space="preserve">EUR</t>
  </si>
  <si>
    <t xml:space="preserve">PV + Wind</t>
  </si>
  <si>
    <t xml:space="preserve">Development</t>
  </si>
  <si>
    <t xml:space="preserve">DB-100</t>
  </si>
  <si>
    <t xml:space="preserve">Murcia</t>
  </si>
  <si>
    <t xml:space="preserve">Spain</t>
  </si>
  <si>
    <t xml:space="preserve">Western Europe</t>
  </si>
  <si>
    <t xml:space="preserve">Merchant/PPA</t>
  </si>
  <si>
    <t xml:space="preserve">Grupotec SPV 9</t>
  </si>
  <si>
    <t xml:space="preserve">single-axis tracked</t>
  </si>
  <si>
    <t xml:space="preserve">DB-101</t>
  </si>
  <si>
    <t xml:space="preserve">Alicante</t>
  </si>
  <si>
    <t xml:space="preserve">Grupotec SPV 4,  Grupotec SPV 20, IDE Planta 4</t>
  </si>
  <si>
    <t xml:space="preserve">Contractor Y02</t>
  </si>
  <si>
    <t xml:space="preserve">DB-102</t>
  </si>
  <si>
    <t xml:space="preserve">Almería II</t>
  </si>
  <si>
    <t xml:space="preserve">Muscari Solar</t>
  </si>
  <si>
    <t xml:space="preserve">DB-103</t>
  </si>
  <si>
    <t xml:space="preserve">Almería I</t>
  </si>
  <si>
    <t xml:space="preserve">Grupotec SPV 16, Grupotec SPV 17, IDE Planta 3</t>
  </si>
  <si>
    <t xml:space="preserve">Contractor Y03</t>
  </si>
  <si>
    <t xml:space="preserve">DB-104</t>
  </si>
  <si>
    <t xml:space="preserve">Jaén</t>
  </si>
  <si>
    <t xml:space="preserve">Solar AF 2018</t>
  </si>
  <si>
    <t xml:space="preserve">DB-105</t>
  </si>
  <si>
    <t xml:space="preserve">Málaga</t>
  </si>
  <si>
    <t xml:space="preserve">Celeno Solar, Deneb Solar</t>
  </si>
  <si>
    <t xml:space="preserve">Contractor Y04</t>
  </si>
  <si>
    <t xml:space="preserve">DB-106</t>
  </si>
  <si>
    <t xml:space="preserve">Guadalajara</t>
  </si>
  <si>
    <t xml:space="preserve">Bessel Solar</t>
  </si>
  <si>
    <t xml:space="preserve">DB-107</t>
  </si>
  <si>
    <t xml:space="preserve">Palencia</t>
  </si>
  <si>
    <t xml:space="preserve">Grupotec SPV 19</t>
  </si>
  <si>
    <t xml:space="preserve">Contractor Y05</t>
  </si>
  <si>
    <t xml:space="preserve">Cost Phase</t>
  </si>
  <si>
    <t xml:space="preserve">Cost Group</t>
  </si>
  <si>
    <t xml:space="preserve">Component</t>
  </si>
  <si>
    <t xml:space="preserve">Native Value</t>
  </si>
  <si>
    <t xml:space="preserve">Currency</t>
  </si>
  <si>
    <t xml:space="preserve">FX to USD</t>
  </si>
  <si>
    <t xml:space="preserve">USD Value</t>
  </si>
  <si>
    <t xml:space="preserve">Unit Basis</t>
  </si>
  <si>
    <t xml:space="preserve">Project DC MWp</t>
  </si>
  <si>
    <t xml:space="preserve">Project AC MW</t>
  </si>
  <si>
    <t xml:space="preserve">Normalized USD/MWp</t>
  </si>
  <si>
    <t xml:space="preserve">Source</t>
  </si>
  <si>
    <t xml:space="preserve">Confidence</t>
  </si>
  <si>
    <t xml:space="preserve">Comments</t>
  </si>
  <si>
    <t xml:space="preserve">Include?</t>
  </si>
  <si>
    <t xml:space="preserve">Modules</t>
  </si>
  <si>
    <t xml:space="preserve">Module supply</t>
  </si>
  <si>
    <t xml:space="preserve">m$</t>
  </si>
  <si>
    <t xml:space="preserve">Assumptions</t>
  </si>
  <si>
    <t xml:space="preserve">Medium</t>
  </si>
  <si>
    <t xml:space="preserve">Example line only</t>
  </si>
  <si>
    <t xml:space="preserve">Y</t>
  </si>
  <si>
    <t xml:space="preserve">Inverters</t>
  </si>
  <si>
    <t xml:space="preserve">Central inverter package</t>
  </si>
  <si>
    <t xml:space="preserve">Grid / Interconnection</t>
  </si>
  <si>
    <t xml:space="preserve">Grid connection</t>
  </si>
  <si>
    <t xml:space="preserve">Annual O&amp;M</t>
  </si>
  <si>
    <t xml:space="preserve">$/year</t>
  </si>
  <si>
    <t xml:space="preserve">Annual total, different unit basis differ per contract not one unified used.</t>
  </si>
  <si>
    <t xml:space="preserve">$/kWp</t>
  </si>
  <si>
    <t xml:space="preserve">High</t>
  </si>
  <si>
    <t xml:space="preserve">Per kWp input example</t>
  </si>
  <si>
    <t xml:space="preserve">Hybrid Add-on</t>
  </si>
  <si>
    <t xml:space="preserve">Hybrid equipment</t>
  </si>
  <si>
    <t xml:space="preserve">Battery system</t>
  </si>
  <si>
    <t xml:space="preserve">Extra row instead of extra columns</t>
  </si>
  <si>
    <t xml:space="preserve">5830.00 USD/MWp/yr × 36.0 MWp</t>
  </si>
  <si>
    <t xml:space="preserve">5830.00 USD/MWp/yr × 123.0 MWp</t>
  </si>
  <si>
    <t xml:space="preserve">5830.00 USD/MWp/yr × 150.0 MWp</t>
  </si>
  <si>
    <t xml:space="preserve">5830.00 USD/MWp/yr × 34.5 MWp</t>
  </si>
  <si>
    <t xml:space="preserve">5830.00 USD/MWp/yr × 87.9 MWp</t>
  </si>
  <si>
    <t xml:space="preserve">5830.00 USD/MWp/yr × 22.0 MWp</t>
  </si>
  <si>
    <t xml:space="preserve">5830.00 USD/MWp/yr × 51.0 MWp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</si>
</sst>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F172A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BEAFE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DBEAF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E2E2"/>
      <rgbColor rgb="FFDBEA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C:/Users/AlhosaniS/Desktop/Cost%20-%20Database_Redesign%20Logic%20V.3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rends"/>
      <sheetName val="Database"/>
      <sheetName val="Input Workfile"/>
      <sheetName val="dd"/>
      <sheetName val="Manual"/>
      <sheetName val="Redesign_Overview"/>
      <sheetName val="Redesign_Core"/>
      <sheetName val="Redesign_Cost_Lines"/>
      <sheetName val="Redesign_FX_Units"/>
      <sheetName val="Redesign_Field_Map"/>
      <sheetName val="Redesign_Dashboard"/>
      <sheetName val="Redesign_Lists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A4" t="str">
            <v>EX-001</v>
          </cell>
          <cell r="B4" t="str">
            <v>Example PV portfolio</v>
          </cell>
          <cell r="C4" t="str">
            <v>UAE</v>
          </cell>
          <cell r="D4" t="str">
            <v>Middle East</v>
          </cell>
          <cell r="E4" t="str">
            <v>Portfolio Group</v>
          </cell>
          <cell r="F4" t="str">
            <v>Benchmark</v>
          </cell>
          <cell r="G4" t="str">
            <v>Internal / mixed</v>
          </cell>
          <cell r="H4" t="str">
            <v>Multiple</v>
          </cell>
          <cell r="I4" t="str">
            <v>Assumption</v>
          </cell>
          <cell r="J4" t="str">
            <v>Grouped historical reference</v>
          </cell>
          <cell r="K4" t="str">
            <v>USD</v>
          </cell>
          <cell r="L4">
            <v>1</v>
          </cell>
          <cell r="M4">
            <v>2024</v>
          </cell>
          <cell r="N4">
            <v>2026</v>
          </cell>
          <cell r="O4">
            <v>500</v>
          </cell>
          <cell r="P4">
            <v>400</v>
          </cell>
        </row>
        <row r="5">
          <cell r="A5" t="str">
            <v>EX-002</v>
          </cell>
          <cell r="B5" t="str">
            <v>Example PV + BESS</v>
          </cell>
          <cell r="C5" t="str">
            <v>Saudi Arabia</v>
          </cell>
          <cell r="D5" t="str">
            <v>Middle East</v>
          </cell>
          <cell r="E5" t="str">
            <v>PV + BESS</v>
          </cell>
          <cell r="F5" t="str">
            <v>EPC</v>
          </cell>
          <cell r="G5" t="str">
            <v>Client X</v>
          </cell>
          <cell r="H5" t="str">
            <v>Contractor Y</v>
          </cell>
          <cell r="I5" t="str">
            <v>Contract</v>
          </cell>
          <cell r="J5" t="str">
            <v>Cost package rev A</v>
          </cell>
          <cell r="K5" t="str">
            <v>SAR</v>
          </cell>
          <cell r="L5">
            <v>0.27</v>
          </cell>
          <cell r="M5">
            <v>2025</v>
          </cell>
          <cell r="N5">
            <v>2027</v>
          </cell>
          <cell r="O5">
            <v>120</v>
          </cell>
          <cell r="P5">
            <v>100</v>
          </cell>
        </row>
      </sheetData>
      <sheetData sheetId="7"/>
      <sheetData sheetId="8">
        <row r="4">
          <cell r="A4" t="str">
            <v>USD</v>
          </cell>
          <cell r="B4">
            <v>1</v>
          </cell>
        </row>
        <row r="5">
          <cell r="A5" t="str">
            <v>EUR</v>
          </cell>
          <cell r="B5">
            <v>1.09</v>
          </cell>
        </row>
        <row r="6">
          <cell r="A6" t="str">
            <v>GBP</v>
          </cell>
          <cell r="B6">
            <v>1.29</v>
          </cell>
        </row>
        <row r="7">
          <cell r="A7" t="str">
            <v>SAR</v>
          </cell>
          <cell r="B7">
            <v>0.27</v>
          </cell>
        </row>
        <row r="8">
          <cell r="A8" t="str">
            <v>AUD</v>
          </cell>
          <cell r="B8">
            <v>0.7</v>
          </cell>
        </row>
        <row r="9">
          <cell r="A9" t="str">
            <v>JPY</v>
          </cell>
          <cell r="B9">
            <v>0.0093</v>
          </cell>
        </row>
        <row r="12">
          <cell r="A12" t="str">
            <v>Design principle</v>
          </cell>
        </row>
        <row r="13">
          <cell r="A13" t="str">
            <v>1) Keep only editable reference rates here.</v>
          </cell>
        </row>
        <row r="14">
          <cell r="A14" t="str">
            <v>2) Put one cost component per row in the cost-line sheet.</v>
          </cell>
        </row>
        <row r="15">
          <cell r="A15" t="str">
            <v>3) Normalize later by formula instead of storing many duplicate 'Spec.' columns.</v>
          </cell>
        </row>
        <row r="16">
          <cell r="A16" t="str">
            <v>4) Hybrid projects should use extra cost lines, not extra fixed columns.</v>
          </cell>
        </row>
      </sheetData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id="1" name="RedesignCoreTable" displayName="RedesignCoreTable" ref="A1:U61" headerRowCount="1" totalsRowCount="0" totalsRowShown="0">
  <tableColumns count="21">
    <tableColumn id="1" name="Project ID"/>
    <tableColumn id="2" name="Project Name"/>
    <tableColumn id="3" name="Country"/>
    <tableColumn id="4" name="Region"/>
    <tableColumn id="5" name="Project Type"/>
    <tableColumn id="6" name="Contract Type"/>
    <tableColumn id="7" name="Developer / Client"/>
    <tableColumn id="8" name="Counterparty / EPC"/>
    <tableColumn id="9" name="Source Type"/>
    <tableColumn id="10" name="Native Currency"/>
    <tableColumn id="11" name="CAPEX"/>
    <tableColumn id="12" name="OPEX"/>
    <tableColumn id="13" name="EPC Start Year"/>
    <tableColumn id="14" name="COD Year"/>
    <tableColumn id="15" name="DC Capacity MWp"/>
    <tableColumn id="16" name="AC Capacity MW"/>
    <tableColumn id="17" name="Technology"/>
    <tableColumn id="18" name="P50 Yield kWh/kWp"/>
    <tableColumn id="19" name="Status"/>
    <tableColumn id="20" name="Completeness %"/>
    <tableColumn id="21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K15" activeCellId="0" sqref="K15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24"/>
    <col collapsed="false" customWidth="true" hidden="false" outlineLevel="0" max="6" min="3" style="1" width="15"/>
    <col collapsed="false" customWidth="true" hidden="false" outlineLevel="0" max="8" min="7" style="1" width="24"/>
    <col collapsed="false" customWidth="true" hidden="false" outlineLevel="0" max="16" min="9" style="1" width="15"/>
    <col collapsed="false" customWidth="true" hidden="false" outlineLevel="0" max="17" min="17" style="1" width="24"/>
    <col collapsed="false" customWidth="true" hidden="false" outlineLevel="0" max="20" min="18" style="1" width="15"/>
    <col collapsed="false" customWidth="true" hidden="false" outlineLevel="0" max="21" min="21" style="1" width="24"/>
  </cols>
  <sheetData>
    <row r="1" customFormat="false" ht="30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customFormat="false" ht="46.25" hidden="false" customHeight="false" outlineLevel="0" collapsed="false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  <c r="K2" s="3" t="n">
        <v>12</v>
      </c>
      <c r="L2" s="3" t="n">
        <v>0.5</v>
      </c>
      <c r="M2" s="3" t="n">
        <v>2024</v>
      </c>
      <c r="N2" s="3" t="n">
        <v>2026</v>
      </c>
      <c r="O2" s="3" t="n">
        <v>500</v>
      </c>
      <c r="P2" s="3" t="n">
        <v>400</v>
      </c>
      <c r="Q2" s="3" t="s">
        <v>31</v>
      </c>
      <c r="R2" s="3"/>
      <c r="S2" s="3" t="s">
        <v>32</v>
      </c>
      <c r="T2" s="4" t="n">
        <f aca="false">COUNTA(RedesignCoreTable[[#This Row],[Project ID]:[Native Currency]],(RedesignCoreTable[[#This Row],[EPC Start Year]:[Status]]))/17</f>
        <v>0.941176470588235</v>
      </c>
      <c r="U2" s="3" t="s">
        <v>33</v>
      </c>
    </row>
    <row r="3" customFormat="false" ht="31.3" hidden="false" customHeight="false" outlineLevel="0" collapsed="false">
      <c r="A3" s="3" t="s">
        <v>34</v>
      </c>
      <c r="B3" s="3" t="s">
        <v>35</v>
      </c>
      <c r="C3" s="3" t="s">
        <v>36</v>
      </c>
      <c r="D3" s="3" t="s">
        <v>24</v>
      </c>
      <c r="E3" s="3" t="s">
        <v>37</v>
      </c>
      <c r="F3" s="3" t="s">
        <v>38</v>
      </c>
      <c r="G3" s="3" t="s">
        <v>39</v>
      </c>
      <c r="H3" s="3" t="s">
        <v>40</v>
      </c>
      <c r="I3" s="3" t="s">
        <v>29</v>
      </c>
      <c r="J3" s="3" t="s">
        <v>41</v>
      </c>
      <c r="K3" s="3" t="n">
        <v>2</v>
      </c>
      <c r="L3" s="3" t="n">
        <v>1.5</v>
      </c>
      <c r="M3" s="3" t="n">
        <v>2025</v>
      </c>
      <c r="N3" s="3" t="n">
        <v>2027</v>
      </c>
      <c r="O3" s="3" t="n">
        <v>120</v>
      </c>
      <c r="P3" s="3" t="n">
        <v>100</v>
      </c>
      <c r="Q3" s="3" t="s">
        <v>37</v>
      </c>
      <c r="R3" s="3" t="n">
        <v>1900</v>
      </c>
      <c r="S3" s="3" t="s">
        <v>42</v>
      </c>
      <c r="T3" s="4" t="n">
        <f aca="false">COUNTA(RedesignCoreTable[[#This Row],[Project ID]:[Native Currency]],(RedesignCoreTable[[#This Row],[EPC Start Year]:[Status]]))/17</f>
        <v>1</v>
      </c>
      <c r="U3" s="3" t="s">
        <v>43</v>
      </c>
    </row>
    <row r="4" customFormat="false" ht="16.4" hidden="false" customHeight="false" outlineLevel="0" collapsed="false">
      <c r="A4" s="3" t="s">
        <v>44</v>
      </c>
      <c r="B4" s="3" t="s">
        <v>45</v>
      </c>
      <c r="C4" s="3" t="s">
        <v>46</v>
      </c>
      <c r="D4" s="3" t="s">
        <v>47</v>
      </c>
      <c r="E4" s="3" t="s">
        <v>48</v>
      </c>
      <c r="F4" s="3" t="s">
        <v>49</v>
      </c>
      <c r="G4" s="3" t="s">
        <v>50</v>
      </c>
      <c r="H4" s="3" t="s">
        <v>51</v>
      </c>
      <c r="I4" s="3" t="s">
        <v>49</v>
      </c>
      <c r="J4" s="3" t="s">
        <v>52</v>
      </c>
      <c r="K4" s="3" t="n">
        <v>1.09</v>
      </c>
      <c r="L4" s="3" t="n">
        <v>2.5</v>
      </c>
      <c r="M4" s="3" t="n">
        <v>2026</v>
      </c>
      <c r="N4" s="3" t="n">
        <v>2030</v>
      </c>
      <c r="O4" s="3" t="n">
        <v>200</v>
      </c>
      <c r="P4" s="3" t="n">
        <v>170</v>
      </c>
      <c r="Q4" s="3" t="s">
        <v>53</v>
      </c>
      <c r="R4" s="3"/>
      <c r="S4" s="3" t="s">
        <v>54</v>
      </c>
      <c r="T4" s="4" t="n">
        <f aca="false">COUNTA(RedesignCoreTable[[#This Row],[Project ID]:[Native Currency]],(RedesignCoreTable[[#This Row],[EPC Start Year]:[Status]]))/17</f>
        <v>0.941176470588235</v>
      </c>
      <c r="U4" s="3"/>
    </row>
    <row r="5" customFormat="false" ht="46.25" hidden="false" customHeight="false" outlineLevel="0" collapsed="false">
      <c r="A5" s="1" t="s">
        <v>55</v>
      </c>
      <c r="B5" s="1" t="s">
        <v>56</v>
      </c>
      <c r="C5" s="1" t="s">
        <v>57</v>
      </c>
      <c r="D5" s="1" t="s">
        <v>58</v>
      </c>
      <c r="E5" s="1" t="s">
        <v>31</v>
      </c>
      <c r="F5" s="1" t="s">
        <v>59</v>
      </c>
      <c r="G5" s="1" t="s">
        <v>60</v>
      </c>
      <c r="H5" s="3" t="s">
        <v>40</v>
      </c>
      <c r="I5" s="3" t="s">
        <v>29</v>
      </c>
      <c r="J5" s="1" t="s">
        <v>30</v>
      </c>
      <c r="K5" s="3" t="n">
        <v>13</v>
      </c>
      <c r="L5" s="3" t="n">
        <v>3.5</v>
      </c>
      <c r="M5" s="3" t="n">
        <v>2024</v>
      </c>
      <c r="N5" s="3" t="n">
        <v>2026</v>
      </c>
      <c r="O5" s="1" t="n">
        <v>36</v>
      </c>
      <c r="P5" s="1" t="n">
        <v>30</v>
      </c>
      <c r="Q5" s="1" t="s">
        <v>61</v>
      </c>
      <c r="R5" s="1" t="n">
        <v>2096</v>
      </c>
      <c r="S5" s="3" t="s">
        <v>32</v>
      </c>
      <c r="T5" s="4" t="n">
        <f aca="false">COUNTA(RedesignCoreTable[[#This Row],[Project ID]:[Native Currency]],(RedesignCoreTable[[#This Row],[EPC Start Year]:[Status]]))/17</f>
        <v>1</v>
      </c>
      <c r="U5" s="3" t="s">
        <v>33</v>
      </c>
    </row>
    <row r="6" customFormat="false" ht="31.3" hidden="false" customHeight="false" outlineLevel="0" collapsed="false">
      <c r="A6" s="1" t="s">
        <v>62</v>
      </c>
      <c r="B6" s="1" t="s">
        <v>63</v>
      </c>
      <c r="C6" s="1" t="s">
        <v>57</v>
      </c>
      <c r="D6" s="1" t="s">
        <v>58</v>
      </c>
      <c r="E6" s="1" t="s">
        <v>31</v>
      </c>
      <c r="F6" s="1" t="s">
        <v>59</v>
      </c>
      <c r="G6" s="1" t="s">
        <v>64</v>
      </c>
      <c r="H6" s="3" t="s">
        <v>65</v>
      </c>
      <c r="I6" s="3" t="s">
        <v>49</v>
      </c>
      <c r="J6" s="1" t="s">
        <v>30</v>
      </c>
      <c r="K6" s="3" t="n">
        <v>3</v>
      </c>
      <c r="L6" s="3" t="n">
        <v>4.5</v>
      </c>
      <c r="M6" s="3" t="n">
        <v>2025</v>
      </c>
      <c r="N6" s="3" t="n">
        <v>2027</v>
      </c>
      <c r="O6" s="1" t="n">
        <v>123</v>
      </c>
      <c r="P6" s="1" t="n">
        <v>102</v>
      </c>
      <c r="Q6" s="1" t="s">
        <v>61</v>
      </c>
      <c r="R6" s="1" t="n">
        <v>2012</v>
      </c>
      <c r="S6" s="3" t="s">
        <v>42</v>
      </c>
      <c r="T6" s="4" t="n">
        <f aca="false">COUNTA(RedesignCoreTable[[#This Row],[Project ID]:[Native Currency]],(RedesignCoreTable[[#This Row],[EPC Start Year]:[Status]]))/17</f>
        <v>1</v>
      </c>
      <c r="U6" s="3" t="s">
        <v>43</v>
      </c>
    </row>
    <row r="7" customFormat="false" ht="16.4" hidden="false" customHeight="false" outlineLevel="0" collapsed="false">
      <c r="A7" s="1" t="s">
        <v>66</v>
      </c>
      <c r="B7" s="1" t="s">
        <v>67</v>
      </c>
      <c r="C7" s="1" t="s">
        <v>57</v>
      </c>
      <c r="D7" s="1" t="s">
        <v>58</v>
      </c>
      <c r="E7" s="1" t="s">
        <v>31</v>
      </c>
      <c r="F7" s="1" t="s">
        <v>59</v>
      </c>
      <c r="G7" s="1" t="s">
        <v>68</v>
      </c>
      <c r="H7" s="3" t="s">
        <v>40</v>
      </c>
      <c r="I7" s="3" t="s">
        <v>29</v>
      </c>
      <c r="J7" s="1" t="s">
        <v>30</v>
      </c>
      <c r="K7" s="3" t="n">
        <v>2.09</v>
      </c>
      <c r="L7" s="3" t="n">
        <v>5.5</v>
      </c>
      <c r="M7" s="3" t="n">
        <v>2024</v>
      </c>
      <c r="N7" s="3" t="n">
        <v>2026</v>
      </c>
      <c r="O7" s="1" t="n">
        <v>36</v>
      </c>
      <c r="P7" s="1" t="n">
        <v>30</v>
      </c>
      <c r="Q7" s="1" t="s">
        <v>61</v>
      </c>
      <c r="R7" s="1" t="n">
        <v>2086</v>
      </c>
      <c r="S7" s="3" t="s">
        <v>54</v>
      </c>
      <c r="T7" s="4" t="n">
        <f aca="false">COUNTA(RedesignCoreTable[[#This Row],[Project ID]:[Native Currency]],(RedesignCoreTable[[#This Row],[EPC Start Year]:[Status]]))/17</f>
        <v>1</v>
      </c>
      <c r="U7" s="3"/>
    </row>
    <row r="8" customFormat="false" ht="46.25" hidden="false" customHeight="false" outlineLevel="0" collapsed="false">
      <c r="A8" s="1" t="s">
        <v>69</v>
      </c>
      <c r="B8" s="1" t="s">
        <v>70</v>
      </c>
      <c r="C8" s="1" t="s">
        <v>57</v>
      </c>
      <c r="D8" s="1" t="s">
        <v>58</v>
      </c>
      <c r="E8" s="1" t="s">
        <v>31</v>
      </c>
      <c r="F8" s="1" t="s">
        <v>59</v>
      </c>
      <c r="G8" s="1" t="s">
        <v>71</v>
      </c>
      <c r="H8" s="3" t="s">
        <v>72</v>
      </c>
      <c r="I8" s="3" t="s">
        <v>49</v>
      </c>
      <c r="J8" s="1" t="s">
        <v>30</v>
      </c>
      <c r="K8" s="3" t="n">
        <v>14</v>
      </c>
      <c r="L8" s="3" t="n">
        <v>6.5</v>
      </c>
      <c r="M8" s="3" t="n">
        <v>2025</v>
      </c>
      <c r="N8" s="3" t="n">
        <v>2027</v>
      </c>
      <c r="O8" s="1" t="n">
        <v>150</v>
      </c>
      <c r="P8" s="1" t="n">
        <v>126</v>
      </c>
      <c r="Q8" s="1" t="s">
        <v>61</v>
      </c>
      <c r="R8" s="1" t="n">
        <v>2086</v>
      </c>
      <c r="S8" s="3" t="s">
        <v>32</v>
      </c>
      <c r="T8" s="4" t="n">
        <f aca="false">COUNTA(RedesignCoreTable[[#This Row],[Project ID]:[Native Currency]],(RedesignCoreTable[[#This Row],[EPC Start Year]:[Status]]))/17</f>
        <v>1</v>
      </c>
      <c r="U8" s="3" t="s">
        <v>33</v>
      </c>
    </row>
    <row r="9" customFormat="false" ht="31.3" hidden="false" customHeight="false" outlineLevel="0" collapsed="false">
      <c r="A9" s="1" t="s">
        <v>73</v>
      </c>
      <c r="B9" s="1" t="s">
        <v>74</v>
      </c>
      <c r="C9" s="1" t="s">
        <v>57</v>
      </c>
      <c r="D9" s="1" t="s">
        <v>58</v>
      </c>
      <c r="E9" s="1" t="s">
        <v>31</v>
      </c>
      <c r="F9" s="1" t="s">
        <v>59</v>
      </c>
      <c r="G9" s="1" t="s">
        <v>75</v>
      </c>
      <c r="H9" s="3" t="s">
        <v>40</v>
      </c>
      <c r="I9" s="3" t="s">
        <v>29</v>
      </c>
      <c r="J9" s="1" t="s">
        <v>30</v>
      </c>
      <c r="K9" s="3" t="n">
        <v>4</v>
      </c>
      <c r="L9" s="3" t="n">
        <v>7.5</v>
      </c>
      <c r="M9" s="3" t="n">
        <v>2024</v>
      </c>
      <c r="N9" s="3" t="n">
        <v>2026</v>
      </c>
      <c r="O9" s="1" t="n">
        <v>34.5</v>
      </c>
      <c r="P9" s="1" t="n">
        <v>30</v>
      </c>
      <c r="Q9" s="1" t="s">
        <v>61</v>
      </c>
      <c r="R9" s="1" t="n">
        <v>2115</v>
      </c>
      <c r="S9" s="3" t="s">
        <v>42</v>
      </c>
      <c r="T9" s="4" t="n">
        <f aca="false">COUNTA(RedesignCoreTable[[#This Row],[Project ID]:[Native Currency]],(RedesignCoreTable[[#This Row],[EPC Start Year]:[Status]]))/17</f>
        <v>1</v>
      </c>
      <c r="U9" s="3" t="s">
        <v>43</v>
      </c>
    </row>
    <row r="10" customFormat="false" ht="16.4" hidden="false" customHeight="false" outlineLevel="0" collapsed="false">
      <c r="A10" s="1" t="s">
        <v>76</v>
      </c>
      <c r="B10" s="1" t="s">
        <v>77</v>
      </c>
      <c r="C10" s="1" t="s">
        <v>57</v>
      </c>
      <c r="D10" s="1" t="s">
        <v>58</v>
      </c>
      <c r="E10" s="1" t="s">
        <v>31</v>
      </c>
      <c r="F10" s="1" t="s">
        <v>59</v>
      </c>
      <c r="G10" s="1" t="s">
        <v>78</v>
      </c>
      <c r="H10" s="3" t="s">
        <v>79</v>
      </c>
      <c r="I10" s="3" t="s">
        <v>49</v>
      </c>
      <c r="J10" s="1" t="s">
        <v>30</v>
      </c>
      <c r="K10" s="3" t="n">
        <v>3.09</v>
      </c>
      <c r="L10" s="3" t="n">
        <v>8.5</v>
      </c>
      <c r="M10" s="3" t="n">
        <v>2025</v>
      </c>
      <c r="N10" s="3" t="n">
        <v>2027</v>
      </c>
      <c r="O10" s="1" t="n">
        <v>87.9</v>
      </c>
      <c r="P10" s="1" t="n">
        <v>73.3</v>
      </c>
      <c r="Q10" s="1" t="s">
        <v>61</v>
      </c>
      <c r="R10" s="1" t="n">
        <v>2084</v>
      </c>
      <c r="S10" s="3" t="s">
        <v>54</v>
      </c>
      <c r="T10" s="4" t="n">
        <f aca="false">COUNTA(RedesignCoreTable[[#This Row],[Project ID]:[Native Currency]],(RedesignCoreTable[[#This Row],[EPC Start Year]:[Status]]))/17</f>
        <v>1</v>
      </c>
      <c r="U10" s="3"/>
    </row>
    <row r="11" customFormat="false" ht="46.25" hidden="false" customHeight="false" outlineLevel="0" collapsed="false">
      <c r="A11" s="1" t="s">
        <v>80</v>
      </c>
      <c r="B11" s="1" t="s">
        <v>81</v>
      </c>
      <c r="C11" s="1" t="s">
        <v>57</v>
      </c>
      <c r="D11" s="1" t="s">
        <v>58</v>
      </c>
      <c r="E11" s="1" t="s">
        <v>31</v>
      </c>
      <c r="F11" s="1" t="s">
        <v>59</v>
      </c>
      <c r="G11" s="1" t="s">
        <v>82</v>
      </c>
      <c r="H11" s="3" t="s">
        <v>40</v>
      </c>
      <c r="I11" s="3" t="s">
        <v>29</v>
      </c>
      <c r="J11" s="1" t="s">
        <v>30</v>
      </c>
      <c r="K11" s="3" t="n">
        <v>15</v>
      </c>
      <c r="L11" s="3" t="n">
        <v>9.5</v>
      </c>
      <c r="M11" s="3" t="n">
        <v>2024</v>
      </c>
      <c r="N11" s="3" t="n">
        <v>2026</v>
      </c>
      <c r="O11" s="1" t="n">
        <v>22</v>
      </c>
      <c r="P11" s="1" t="n">
        <v>17.4</v>
      </c>
      <c r="Q11" s="1" t="s">
        <v>61</v>
      </c>
      <c r="R11" s="1" t="n">
        <v>1984</v>
      </c>
      <c r="S11" s="3" t="s">
        <v>32</v>
      </c>
      <c r="T11" s="4" t="n">
        <f aca="false">COUNTA(RedesignCoreTable[[#This Row],[Project ID]:[Native Currency]],(RedesignCoreTable[[#This Row],[EPC Start Year]:[Status]]))/17</f>
        <v>1</v>
      </c>
      <c r="U11" s="3" t="s">
        <v>33</v>
      </c>
    </row>
    <row r="12" customFormat="false" ht="31.3" hidden="false" customHeight="false" outlineLevel="0" collapsed="false">
      <c r="A12" s="1" t="s">
        <v>83</v>
      </c>
      <c r="B12" s="1" t="s">
        <v>84</v>
      </c>
      <c r="C12" s="1" t="s">
        <v>57</v>
      </c>
      <c r="D12" s="1" t="s">
        <v>58</v>
      </c>
      <c r="E12" s="1" t="s">
        <v>31</v>
      </c>
      <c r="F12" s="1" t="s">
        <v>59</v>
      </c>
      <c r="G12" s="1" t="s">
        <v>85</v>
      </c>
      <c r="H12" s="3" t="s">
        <v>86</v>
      </c>
      <c r="I12" s="3" t="s">
        <v>49</v>
      </c>
      <c r="J12" s="1" t="s">
        <v>30</v>
      </c>
      <c r="K12" s="3" t="n">
        <v>5</v>
      </c>
      <c r="L12" s="3" t="n">
        <v>10.5</v>
      </c>
      <c r="M12" s="3" t="n">
        <v>2025</v>
      </c>
      <c r="N12" s="3" t="n">
        <v>2027</v>
      </c>
      <c r="O12" s="1" t="n">
        <v>51</v>
      </c>
      <c r="P12" s="1" t="n">
        <v>40</v>
      </c>
      <c r="Q12" s="1" t="s">
        <v>61</v>
      </c>
      <c r="R12" s="1" t="n">
        <v>1831</v>
      </c>
      <c r="S12" s="3" t="s">
        <v>42</v>
      </c>
      <c r="T12" s="4" t="n">
        <f aca="false">COUNTA(RedesignCoreTable[[#This Row],[Project ID]:[Native Currency]],(RedesignCoreTable[[#This Row],[EPC Start Year]:[Status]]))/17</f>
        <v>1</v>
      </c>
      <c r="U12" s="3" t="s">
        <v>43</v>
      </c>
    </row>
    <row r="13" customFormat="false" ht="14.2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4"/>
      <c r="U13" s="3"/>
    </row>
    <row r="14" customFormat="false" ht="14.2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4"/>
      <c r="U14" s="3"/>
    </row>
    <row r="15" customFormat="false" ht="14.25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4"/>
      <c r="U15" s="3"/>
    </row>
    <row r="16" customFormat="false" ht="14.2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4"/>
      <c r="U16" s="3"/>
    </row>
    <row r="17" customFormat="false" ht="14.2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4"/>
      <c r="U17" s="3"/>
    </row>
    <row r="18" customFormat="false" ht="14.2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4"/>
      <c r="U18" s="3"/>
    </row>
    <row r="19" customFormat="false" ht="14.2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4"/>
      <c r="U19" s="3"/>
    </row>
    <row r="20" customFormat="false" ht="14.2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4"/>
      <c r="U20" s="3"/>
    </row>
    <row r="21" customFormat="false" ht="14.25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4"/>
      <c r="U21" s="3"/>
    </row>
    <row r="22" customFormat="false" ht="14.25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4"/>
      <c r="U22" s="3"/>
    </row>
    <row r="23" customFormat="false" ht="14.25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4"/>
      <c r="U23" s="3"/>
    </row>
    <row r="24" customFormat="false" ht="14.25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4"/>
      <c r="U24" s="3"/>
    </row>
    <row r="25" customFormat="false" ht="14.25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4"/>
      <c r="U25" s="3"/>
    </row>
    <row r="26" customFormat="false" ht="14.25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4"/>
      <c r="U26" s="3"/>
    </row>
    <row r="27" customFormat="false" ht="14.25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4"/>
      <c r="U27" s="3"/>
    </row>
    <row r="28" customFormat="false" ht="14.25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4"/>
      <c r="U28" s="3"/>
    </row>
    <row r="29" customFormat="false" ht="14.25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4"/>
      <c r="U29" s="3"/>
    </row>
    <row r="30" customFormat="false" ht="14.25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4"/>
      <c r="U30" s="3"/>
    </row>
    <row r="31" customFormat="false" ht="14.25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4"/>
      <c r="U31" s="3"/>
    </row>
    <row r="32" customFormat="false" ht="14.25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4"/>
      <c r="U32" s="3"/>
    </row>
    <row r="33" customFormat="false" ht="14.2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4"/>
      <c r="U33" s="3"/>
    </row>
    <row r="34" customFormat="false" ht="14.25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4"/>
      <c r="U34" s="3"/>
    </row>
    <row r="35" customFormat="false" ht="14.25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4"/>
      <c r="U35" s="3"/>
    </row>
    <row r="36" customFormat="false" ht="14.25" hidden="false" customHeight="fals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4"/>
      <c r="U36" s="3"/>
    </row>
    <row r="37" customFormat="false" ht="14.25" hidden="false" customHeight="fals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4"/>
      <c r="U37" s="3"/>
    </row>
    <row r="38" customFormat="false" ht="14.25" hidden="false" customHeight="fals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4"/>
      <c r="U38" s="3"/>
    </row>
    <row r="39" customFormat="false" ht="14.25" hidden="false" customHeight="fals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4"/>
      <c r="U39" s="3"/>
    </row>
    <row r="40" customFormat="false" ht="14.25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4"/>
      <c r="U40" s="3"/>
    </row>
    <row r="41" customFormat="false" ht="14.25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4"/>
      <c r="U41" s="3"/>
    </row>
    <row r="42" customFormat="false" ht="14.25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4"/>
      <c r="U42" s="3"/>
    </row>
    <row r="43" customFormat="false" ht="14.25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4"/>
      <c r="U43" s="3"/>
    </row>
    <row r="44" customFormat="false" ht="14.25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4"/>
      <c r="U44" s="3"/>
    </row>
    <row r="45" customFormat="false" ht="14.25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4"/>
      <c r="U45" s="3"/>
    </row>
    <row r="46" customFormat="false" ht="14.25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4"/>
      <c r="U46" s="3"/>
    </row>
    <row r="47" customFormat="false" ht="14.25" hidden="false" customHeight="fals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4"/>
      <c r="U47" s="3"/>
    </row>
    <row r="48" customFormat="false" ht="14.25" hidden="false" customHeight="fals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4"/>
      <c r="U48" s="3"/>
    </row>
    <row r="49" customFormat="false" ht="14.25" hidden="false" customHeight="fals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4"/>
      <c r="U49" s="3"/>
    </row>
    <row r="50" customFormat="false" ht="14.25" hidden="false" customHeight="fals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4"/>
      <c r="U50" s="3"/>
    </row>
    <row r="51" customFormat="false" ht="14.25" hidden="false" customHeight="fals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4"/>
      <c r="U51" s="3"/>
    </row>
    <row r="52" customFormat="false" ht="14.25" hidden="false" customHeight="fals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4"/>
      <c r="U52" s="3"/>
    </row>
    <row r="53" customFormat="false" ht="14.25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4"/>
      <c r="U53" s="3"/>
    </row>
    <row r="54" customFormat="false" ht="14.25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4"/>
      <c r="U54" s="3"/>
    </row>
    <row r="55" customFormat="false" ht="14.25" hidden="false" customHeight="fals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4"/>
      <c r="U55" s="3"/>
    </row>
    <row r="56" customFormat="false" ht="14.25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4"/>
      <c r="U56" s="3"/>
    </row>
    <row r="57" customFormat="false" ht="14.25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4"/>
      <c r="U57" s="3"/>
    </row>
    <row r="58" customFormat="false" ht="14.2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4"/>
      <c r="U58" s="3"/>
    </row>
    <row r="59" customFormat="false" ht="14.2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4"/>
      <c r="U59" s="3"/>
    </row>
    <row r="60" customFormat="false" ht="14.2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4"/>
      <c r="U60" s="3"/>
    </row>
    <row r="61" customFormat="false" ht="14.25" hidden="false" customHeight="fals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4"/>
      <c r="U61" s="3"/>
    </row>
    <row r="1048576" customFormat="false" ht="14.25" hidden="false" customHeight="false" outlineLevel="0" collapsed="false"/>
  </sheetData>
  <conditionalFormatting sqref="T13:T61 T2:T4">
    <cfRule type="colorScale" priority="2">
      <colorScale>
        <cfvo type="min" val="0"/>
        <cfvo type="percentile" val="50"/>
        <cfvo type="max" val="0"/>
        <color rgb="FFFECACA"/>
        <color rgb="FFFEF3C7"/>
        <color rgb="FFDCFCE7"/>
      </colorScale>
    </cfRule>
  </conditionalFormatting>
  <conditionalFormatting sqref="T5:T12">
    <cfRule type="colorScale" priority="3">
      <colorScale>
        <cfvo type="min" val="0"/>
        <cfvo type="percentile" val="50"/>
        <cfvo type="max" val="0"/>
        <color rgb="FFFECACA"/>
        <color rgb="FFFEF3C7"/>
        <color rgb="FFDCFCE7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3" min="1" style="1" width="14"/>
    <col collapsed="false" customWidth="true" hidden="false" outlineLevel="0" max="4" min="4" style="1" width="24"/>
    <col collapsed="false" customWidth="true" hidden="false" outlineLevel="0" max="12" min="5" style="1" width="14"/>
    <col collapsed="false" customWidth="true" hidden="false" outlineLevel="0" max="13" min="13" style="1" width="24"/>
    <col collapsed="false" customWidth="true" hidden="false" outlineLevel="0" max="14" min="14" style="1" width="14"/>
    <col collapsed="false" customWidth="true" hidden="false" outlineLevel="0" max="15" min="15" style="1" width="24"/>
    <col collapsed="false" customWidth="true" hidden="false" outlineLevel="0" max="16" min="16" style="1" width="14"/>
  </cols>
  <sheetData>
    <row r="1" customFormat="false" ht="51" hidden="false" customHeight="true" outlineLevel="0" collapsed="false">
      <c r="A1" s="2" t="s">
        <v>0</v>
      </c>
      <c r="B1" s="2" t="s">
        <v>87</v>
      </c>
      <c r="C1" s="2" t="s">
        <v>88</v>
      </c>
      <c r="D1" s="2" t="s">
        <v>89</v>
      </c>
      <c r="E1" s="2" t="s">
        <v>90</v>
      </c>
      <c r="F1" s="2" t="s">
        <v>91</v>
      </c>
      <c r="G1" s="2" t="s">
        <v>92</v>
      </c>
      <c r="H1" s="2" t="s">
        <v>93</v>
      </c>
      <c r="I1" s="2" t="s">
        <v>94</v>
      </c>
      <c r="J1" s="2" t="s">
        <v>95</v>
      </c>
      <c r="K1" s="2" t="s">
        <v>96</v>
      </c>
      <c r="L1" s="2" t="s">
        <v>97</v>
      </c>
      <c r="M1" s="2" t="s">
        <v>98</v>
      </c>
      <c r="N1" s="2" t="s">
        <v>99</v>
      </c>
      <c r="O1" s="2" t="s">
        <v>100</v>
      </c>
      <c r="P1" s="2" t="s">
        <v>101</v>
      </c>
    </row>
    <row r="2" customFormat="false" ht="16.4" hidden="false" customHeight="false" outlineLevel="0" collapsed="false">
      <c r="A2" s="3" t="s">
        <v>21</v>
      </c>
      <c r="B2" s="3" t="s">
        <v>10</v>
      </c>
      <c r="C2" s="3" t="s">
        <v>102</v>
      </c>
      <c r="D2" s="3" t="s">
        <v>103</v>
      </c>
      <c r="E2" s="3" t="n">
        <v>120</v>
      </c>
      <c r="F2" s="3" t="s">
        <v>30</v>
      </c>
      <c r="G2" s="3" t="n">
        <f aca="false">IFERROR(VLOOKUP(F2,[1]Redesign_FX_Units!$A$4:$B$20,2,FALSE()),"")</f>
        <v>1</v>
      </c>
      <c r="H2" s="3" t="n">
        <f aca="false">IF(OR(E2="",G2=""),"",E2*G2)</f>
        <v>120</v>
      </c>
      <c r="I2" s="3" t="s">
        <v>104</v>
      </c>
      <c r="J2" s="3" t="n">
        <f aca="false">IFERROR(VLOOKUP(A2,[1]Redesign_Core!$A$4:$P$63,15,FALSE()),"")</f>
        <v>500</v>
      </c>
      <c r="K2" s="3" t="n">
        <f aca="false">IFERROR(VLOOKUP(A2,[1]Redesign_Core!$A$4:$P$63,16,FALSE()),"")</f>
        <v>400</v>
      </c>
      <c r="L2" s="3" t="n">
        <f aca="false">IF(OR(H2="",I2=""),"",IF(I2="$/MWp",H2,IF(I2="$/kWp",H2*1000,IF(I2="m$",IF(J2="", "", H2*1000000/J2),IF(I2="$/MW AC",IF(OR(K2="",J2=""),"",H2*K2/J2),"")))))</f>
        <v>240000</v>
      </c>
      <c r="M2" s="3" t="s">
        <v>105</v>
      </c>
      <c r="N2" s="3" t="s">
        <v>106</v>
      </c>
      <c r="O2" s="3" t="s">
        <v>107</v>
      </c>
      <c r="P2" s="3" t="s">
        <v>108</v>
      </c>
    </row>
    <row r="3" customFormat="false" ht="16.4" hidden="false" customHeight="false" outlineLevel="0" collapsed="false">
      <c r="A3" s="3" t="s">
        <v>21</v>
      </c>
      <c r="B3" s="3" t="s">
        <v>10</v>
      </c>
      <c r="C3" s="3" t="s">
        <v>109</v>
      </c>
      <c r="D3" s="3" t="s">
        <v>110</v>
      </c>
      <c r="E3" s="3" t="n">
        <v>35</v>
      </c>
      <c r="F3" s="3" t="s">
        <v>30</v>
      </c>
      <c r="G3" s="3" t="n">
        <f aca="false">IFERROR(VLOOKUP(F3,[1]Redesign_FX_Units!$A$4:$B$20,2,FALSE()),"")</f>
        <v>1</v>
      </c>
      <c r="H3" s="3" t="n">
        <f aca="false">IF(OR(E3="",G3=""),"",E3*G3)</f>
        <v>35</v>
      </c>
      <c r="I3" s="3" t="s">
        <v>104</v>
      </c>
      <c r="J3" s="3" t="n">
        <f aca="false">IFERROR(VLOOKUP(A3,[1]Redesign_Core!$A$4:$P$63,15,FALSE()),"")</f>
        <v>500</v>
      </c>
      <c r="K3" s="3" t="n">
        <f aca="false">IFERROR(VLOOKUP(A3,[1]Redesign_Core!$A$4:$P$63,16,FALSE()),"")</f>
        <v>400</v>
      </c>
      <c r="L3" s="3" t="n">
        <f aca="false">IF(OR(H3="",I3=""),"",IF(I3="$/MWp",H3,IF(I3="$/kWp",H3*1000,IF(I3="m$",IF(J3="", "", H3*1000000/J3),IF(I3="$/MW AC",IF(OR(K3="",J3=""),"",H3*K3/J3),"")))))</f>
        <v>70000</v>
      </c>
      <c r="M3" s="3" t="s">
        <v>105</v>
      </c>
      <c r="N3" s="3" t="s">
        <v>106</v>
      </c>
      <c r="O3" s="3"/>
      <c r="P3" s="3" t="s">
        <v>108</v>
      </c>
    </row>
    <row r="4" customFormat="false" ht="46.25" hidden="false" customHeight="false" outlineLevel="0" collapsed="false">
      <c r="A4" s="3" t="s">
        <v>21</v>
      </c>
      <c r="B4" s="3" t="s">
        <v>10</v>
      </c>
      <c r="C4" s="3" t="s">
        <v>111</v>
      </c>
      <c r="D4" s="3" t="s">
        <v>112</v>
      </c>
      <c r="E4" s="3" t="n">
        <v>18</v>
      </c>
      <c r="F4" s="3" t="s">
        <v>30</v>
      </c>
      <c r="G4" s="3" t="n">
        <f aca="false">IFERROR(VLOOKUP(F4,[1]Redesign_FX_Units!$A$4:$B$20,2,FALSE()),"")</f>
        <v>1</v>
      </c>
      <c r="H4" s="3" t="n">
        <f aca="false">IF(OR(E4="",G4=""),"",E4*G4)</f>
        <v>18</v>
      </c>
      <c r="I4" s="3" t="s">
        <v>104</v>
      </c>
      <c r="J4" s="3" t="n">
        <f aca="false">IFERROR(VLOOKUP(A4,[1]Redesign_Core!$A$4:$P$63,15,FALSE()),"")</f>
        <v>500</v>
      </c>
      <c r="K4" s="3" t="n">
        <f aca="false">IFERROR(VLOOKUP(A4,[1]Redesign_Core!$A$4:$P$63,16,FALSE()),"")</f>
        <v>400</v>
      </c>
      <c r="L4" s="3" t="n">
        <f aca="false">IF(OR(H4="",I4=""),"",IF(I4="$/MWp",H4,IF(I4="$/kWp",H4*1000,IF(I4="m$",IF(J4="", "", H4*1000000/J4),IF(I4="$/MW AC",IF(OR(K4="",J4=""),"",H4*K4/J4),"")))))</f>
        <v>36000</v>
      </c>
      <c r="M4" s="3" t="s">
        <v>105</v>
      </c>
      <c r="N4" s="3" t="s">
        <v>106</v>
      </c>
      <c r="O4" s="3"/>
      <c r="P4" s="3" t="s">
        <v>108</v>
      </c>
    </row>
    <row r="5" customFormat="false" ht="46.25" hidden="false" customHeight="false" outlineLevel="0" collapsed="false">
      <c r="A5" s="3" t="s">
        <v>21</v>
      </c>
      <c r="B5" s="3" t="s">
        <v>11</v>
      </c>
      <c r="C5" s="3" t="s">
        <v>26</v>
      </c>
      <c r="D5" s="3" t="s">
        <v>113</v>
      </c>
      <c r="E5" s="3" t="n">
        <v>8000000</v>
      </c>
      <c r="F5" s="3" t="s">
        <v>30</v>
      </c>
      <c r="G5" s="3" t="n">
        <f aca="false">IFERROR(VLOOKUP(F5,[1]Redesign_FX_Units!$A$4:$B$20,2,FALSE()),"")</f>
        <v>1</v>
      </c>
      <c r="H5" s="3" t="n">
        <f aca="false">IF(OR(E5="",G5=""),"",E5*G5)</f>
        <v>8000000</v>
      </c>
      <c r="I5" s="3" t="s">
        <v>114</v>
      </c>
      <c r="J5" s="3" t="n">
        <f aca="false">IFERROR(VLOOKUP(A5,[1]Redesign_Core!$A$4:$P$63,15,FALSE()),"")</f>
        <v>500</v>
      </c>
      <c r="K5" s="3" t="n">
        <f aca="false">IFERROR(VLOOKUP(A5,[1]Redesign_Core!$A$4:$P$63,16,FALSE()),"")</f>
        <v>400</v>
      </c>
      <c r="L5" s="3" t="str">
        <f aca="false">IF(OR(H5="",I5=""),"",IF(I5="$/MWp",H5,IF(I5="$/kWp",H5*1000,IF(I5="m$",IF(J5="", "", H5*1000000/J5),IF(I5="$/MW AC",IF(OR(K5="",J5=""),"",H5*K5/J5),"")))))</f>
        <v/>
      </c>
      <c r="M5" s="3" t="s">
        <v>105</v>
      </c>
      <c r="N5" s="3" t="s">
        <v>106</v>
      </c>
      <c r="O5" s="3" t="s">
        <v>115</v>
      </c>
      <c r="P5" s="3" t="s">
        <v>108</v>
      </c>
    </row>
    <row r="6" customFormat="false" ht="16.4" hidden="false" customHeight="false" outlineLevel="0" collapsed="false">
      <c r="A6" s="3" t="s">
        <v>34</v>
      </c>
      <c r="B6" s="3" t="s">
        <v>10</v>
      </c>
      <c r="C6" s="3" t="s">
        <v>102</v>
      </c>
      <c r="D6" s="3" t="s">
        <v>103</v>
      </c>
      <c r="E6" s="3" t="n">
        <v>0.24</v>
      </c>
      <c r="F6" s="3" t="s">
        <v>41</v>
      </c>
      <c r="G6" s="3" t="n">
        <f aca="false">IFERROR(VLOOKUP(F6,[1]Redesign_FX_Units!$A$4:$B$20,2,FALSE()),"")</f>
        <v>0.27</v>
      </c>
      <c r="H6" s="3" t="n">
        <f aca="false">IF(OR(E6="",G6=""),"",E6*G6)</f>
        <v>0.0648</v>
      </c>
      <c r="I6" s="3" t="s">
        <v>116</v>
      </c>
      <c r="J6" s="3" t="n">
        <f aca="false">IFERROR(VLOOKUP(A6,[1]Redesign_Core!$A$4:$P$63,15,FALSE()),"")</f>
        <v>120</v>
      </c>
      <c r="K6" s="3" t="n">
        <f aca="false">IFERROR(VLOOKUP(A6,[1]Redesign_Core!$A$4:$P$63,16,FALSE()),"")</f>
        <v>100</v>
      </c>
      <c r="L6" s="3" t="n">
        <f aca="false">IF(OR(H6="",I6=""),"",IF(I6="$/MWp",H6,IF(I6="$/kWp",H6*1000,IF(I6="m$",IF(J6="", "", H6*1000000/J6),IF(I6="$/MW AC",IF(OR(K6="",J6=""),"",H6*K6/J6),"")))))</f>
        <v>64.8</v>
      </c>
      <c r="M6" s="3" t="s">
        <v>29</v>
      </c>
      <c r="N6" s="3" t="s">
        <v>117</v>
      </c>
      <c r="O6" s="3" t="s">
        <v>118</v>
      </c>
      <c r="P6" s="3" t="s">
        <v>108</v>
      </c>
    </row>
    <row r="7" customFormat="false" ht="31.3" hidden="false" customHeight="false" outlineLevel="0" collapsed="false">
      <c r="A7" s="3" t="s">
        <v>34</v>
      </c>
      <c r="B7" s="3" t="s">
        <v>119</v>
      </c>
      <c r="C7" s="3" t="s">
        <v>120</v>
      </c>
      <c r="D7" s="3" t="s">
        <v>121</v>
      </c>
      <c r="E7" s="3" t="n">
        <v>28</v>
      </c>
      <c r="F7" s="3" t="s">
        <v>30</v>
      </c>
      <c r="G7" s="3" t="n">
        <f aca="false">IFERROR(VLOOKUP(F7,[1]Redesign_FX_Units!$A$4:$B$20,2,FALSE()),"")</f>
        <v>1</v>
      </c>
      <c r="H7" s="3" t="n">
        <f aca="false">IF(OR(E7="",G7=""),"",E7*G7)</f>
        <v>28</v>
      </c>
      <c r="I7" s="3" t="s">
        <v>104</v>
      </c>
      <c r="J7" s="3" t="n">
        <f aca="false">IFERROR(VLOOKUP(A7,[1]Redesign_Core!$A$4:$P$63,15,FALSE()),"")</f>
        <v>120</v>
      </c>
      <c r="K7" s="3" t="n">
        <f aca="false">IFERROR(VLOOKUP(A7,[1]Redesign_Core!$A$4:$P$63,16,FALSE()),"")</f>
        <v>100</v>
      </c>
      <c r="L7" s="3" t="n">
        <f aca="false">IF(OR(H7="",I7=""),"",IF(I7="$/MWp",H7,IF(I7="$/kWp",H7*1000,IF(I7="m$",IF(J7="", "", H7*1000000/J7),IF(I7="$/MW AC",IF(OR(K7="",J7=""),"",H7*K7/J7),"")))))</f>
        <v>233333.333333333</v>
      </c>
      <c r="M7" s="3" t="s">
        <v>29</v>
      </c>
      <c r="N7" s="3" t="s">
        <v>117</v>
      </c>
      <c r="O7" s="3" t="s">
        <v>122</v>
      </c>
      <c r="P7" s="3" t="s">
        <v>108</v>
      </c>
    </row>
    <row r="8" customFormat="false" ht="16.4" hidden="false" customHeight="false" outlineLevel="0" collapsed="false">
      <c r="A8" s="1" t="s">
        <v>55</v>
      </c>
      <c r="B8" s="1" t="s">
        <v>11</v>
      </c>
      <c r="C8" s="1" t="s">
        <v>26</v>
      </c>
      <c r="D8" s="1" t="s">
        <v>113</v>
      </c>
      <c r="E8" s="1" t="n">
        <v>209880</v>
      </c>
      <c r="F8" s="1" t="s">
        <v>30</v>
      </c>
      <c r="G8" s="1" t="n">
        <v>1</v>
      </c>
      <c r="H8" s="1" t="n">
        <v>209880</v>
      </c>
      <c r="I8" s="1" t="s">
        <v>114</v>
      </c>
      <c r="J8" s="1" t="n">
        <v>36</v>
      </c>
      <c r="K8" s="1" t="n">
        <v>30</v>
      </c>
      <c r="L8" s="3" t="str">
        <f aca="false">IF(OR(H8="",I8=""),"",IF(I8="$/MWp",H8,IF(I8="$/kWp",H8*1000,IF(I8="m$",IF(J8="", "", H8*1000000/J8),IF(I8="$/MW AC",IF(OR(K8="",J8=""),"",H8*K8/J8),"")))))</f>
        <v/>
      </c>
      <c r="M8" s="3" t="s">
        <v>29</v>
      </c>
      <c r="N8" s="1" t="s">
        <v>106</v>
      </c>
      <c r="O8" s="1" t="s">
        <v>123</v>
      </c>
      <c r="P8" s="3"/>
    </row>
    <row r="9" customFormat="false" ht="16.4" hidden="false" customHeight="false" outlineLevel="0" collapsed="false">
      <c r="A9" s="1" t="s">
        <v>62</v>
      </c>
      <c r="B9" s="1" t="s">
        <v>11</v>
      </c>
      <c r="C9" s="1" t="s">
        <v>26</v>
      </c>
      <c r="D9" s="1" t="s">
        <v>113</v>
      </c>
      <c r="E9" s="1" t="n">
        <v>717090</v>
      </c>
      <c r="F9" s="1" t="s">
        <v>30</v>
      </c>
      <c r="G9" s="1" t="n">
        <v>1</v>
      </c>
      <c r="H9" s="1" t="n">
        <v>717090</v>
      </c>
      <c r="I9" s="1" t="s">
        <v>114</v>
      </c>
      <c r="J9" s="1" t="n">
        <v>123</v>
      </c>
      <c r="K9" s="1" t="n">
        <v>102</v>
      </c>
      <c r="L9" s="3" t="str">
        <f aca="false">IF(OR(H9="",I9=""),"",IF(I9="$/MWp",H9,IF(I9="$/kWp",H9*1000,IF(I9="m$",IF(J9="", "", H9*1000000/J9),IF(I9="$/MW AC",IF(OR(K9="",J9=""),"",H9*K9/J9),"")))))</f>
        <v/>
      </c>
      <c r="M9" s="3" t="s">
        <v>29</v>
      </c>
      <c r="N9" s="1" t="s">
        <v>106</v>
      </c>
      <c r="O9" s="1" t="s">
        <v>124</v>
      </c>
      <c r="P9" s="3"/>
    </row>
    <row r="10" customFormat="false" ht="16.4" hidden="false" customHeight="false" outlineLevel="0" collapsed="false">
      <c r="A10" s="1" t="s">
        <v>66</v>
      </c>
      <c r="B10" s="1" t="s">
        <v>11</v>
      </c>
      <c r="C10" s="1" t="s">
        <v>26</v>
      </c>
      <c r="D10" s="1" t="s">
        <v>113</v>
      </c>
      <c r="E10" s="1" t="n">
        <v>209880</v>
      </c>
      <c r="F10" s="1" t="s">
        <v>30</v>
      </c>
      <c r="G10" s="1" t="n">
        <v>1</v>
      </c>
      <c r="H10" s="1" t="n">
        <v>209880</v>
      </c>
      <c r="I10" s="1" t="s">
        <v>114</v>
      </c>
      <c r="J10" s="1" t="n">
        <v>36</v>
      </c>
      <c r="K10" s="1" t="n">
        <v>30</v>
      </c>
      <c r="L10" s="3" t="str">
        <f aca="false">IF(OR(H10="",I10=""),"",IF(I10="$/MWp",H10,IF(I10="$/kWp",H10*1000,IF(I10="m$",IF(J10="", "", H10*1000000/J10),IF(I10="$/MW AC",IF(OR(K10="",J10=""),"",H10*K10/J10),"")))))</f>
        <v/>
      </c>
      <c r="M10" s="3" t="s">
        <v>29</v>
      </c>
      <c r="N10" s="1" t="s">
        <v>106</v>
      </c>
      <c r="O10" s="1" t="s">
        <v>123</v>
      </c>
      <c r="P10" s="3"/>
    </row>
    <row r="11" customFormat="false" ht="16.4" hidden="false" customHeight="false" outlineLevel="0" collapsed="false">
      <c r="A11" s="1" t="s">
        <v>69</v>
      </c>
      <c r="B11" s="1" t="s">
        <v>11</v>
      </c>
      <c r="C11" s="1" t="s">
        <v>26</v>
      </c>
      <c r="D11" s="1" t="s">
        <v>113</v>
      </c>
      <c r="E11" s="1" t="n">
        <v>874500</v>
      </c>
      <c r="F11" s="1" t="s">
        <v>30</v>
      </c>
      <c r="G11" s="1" t="n">
        <v>1</v>
      </c>
      <c r="H11" s="1" t="n">
        <v>874500</v>
      </c>
      <c r="I11" s="1" t="s">
        <v>114</v>
      </c>
      <c r="J11" s="1" t="n">
        <v>150</v>
      </c>
      <c r="K11" s="1" t="n">
        <v>126</v>
      </c>
      <c r="L11" s="3" t="str">
        <f aca="false">IF(OR(H11="",I11=""),"",IF(I11="$/MWp",H11,IF(I11="$/kWp",H11*1000,IF(I11="m$",IF(J11="", "", H11*1000000/J11),IF(I11="$/MW AC",IF(OR(K11="",J11=""),"",H11*K11/J11),"")))))</f>
        <v/>
      </c>
      <c r="M11" s="3" t="s">
        <v>29</v>
      </c>
      <c r="N11" s="1" t="s">
        <v>106</v>
      </c>
      <c r="O11" s="1" t="s">
        <v>125</v>
      </c>
      <c r="P11" s="3"/>
    </row>
    <row r="12" customFormat="false" ht="16.4" hidden="false" customHeight="false" outlineLevel="0" collapsed="false">
      <c r="A12" s="1" t="s">
        <v>73</v>
      </c>
      <c r="B12" s="1" t="s">
        <v>11</v>
      </c>
      <c r="C12" s="1" t="s">
        <v>26</v>
      </c>
      <c r="D12" s="1" t="s">
        <v>113</v>
      </c>
      <c r="E12" s="1" t="n">
        <v>201135</v>
      </c>
      <c r="F12" s="1" t="s">
        <v>30</v>
      </c>
      <c r="G12" s="1" t="n">
        <v>1</v>
      </c>
      <c r="H12" s="1" t="n">
        <v>201135</v>
      </c>
      <c r="I12" s="1" t="s">
        <v>114</v>
      </c>
      <c r="J12" s="1" t="n">
        <v>34.5</v>
      </c>
      <c r="K12" s="1" t="n">
        <v>30</v>
      </c>
      <c r="L12" s="3" t="str">
        <f aca="false">IF(OR(H12="",I12=""),"",IF(I12="$/MWp",H12,IF(I12="$/kWp",H12*1000,IF(I12="m$",IF(J12="", "", H12*1000000/J12),IF(I12="$/MW AC",IF(OR(K12="",J12=""),"",H12*K12/J12),"")))))</f>
        <v/>
      </c>
      <c r="M12" s="3" t="s">
        <v>29</v>
      </c>
      <c r="N12" s="1" t="s">
        <v>106</v>
      </c>
      <c r="O12" s="1" t="s">
        <v>126</v>
      </c>
      <c r="P12" s="3"/>
    </row>
    <row r="13" customFormat="false" ht="16.4" hidden="false" customHeight="false" outlineLevel="0" collapsed="false">
      <c r="A13" s="1" t="s">
        <v>76</v>
      </c>
      <c r="B13" s="1" t="s">
        <v>11</v>
      </c>
      <c r="C13" s="1" t="s">
        <v>26</v>
      </c>
      <c r="D13" s="1" t="s">
        <v>113</v>
      </c>
      <c r="E13" s="1" t="n">
        <v>512457</v>
      </c>
      <c r="F13" s="1" t="s">
        <v>30</v>
      </c>
      <c r="G13" s="1" t="n">
        <v>1</v>
      </c>
      <c r="H13" s="1" t="n">
        <v>512457</v>
      </c>
      <c r="I13" s="1" t="s">
        <v>114</v>
      </c>
      <c r="J13" s="1" t="n">
        <v>87.9</v>
      </c>
      <c r="K13" s="1" t="n">
        <v>73.3</v>
      </c>
      <c r="L13" s="3" t="str">
        <f aca="false">IF(OR(H13="",I13=""),"",IF(I13="$/MWp",H13,IF(I13="$/kWp",H13*1000,IF(I13="m$",IF(J13="", "", H13*1000000/J13),IF(I13="$/MW AC",IF(OR(K13="",J13=""),"",H13*K13/J13),"")))))</f>
        <v/>
      </c>
      <c r="M13" s="3" t="s">
        <v>29</v>
      </c>
      <c r="N13" s="1" t="s">
        <v>106</v>
      </c>
      <c r="O13" s="1" t="s">
        <v>127</v>
      </c>
      <c r="P13" s="3"/>
    </row>
    <row r="14" customFormat="false" ht="16.4" hidden="false" customHeight="false" outlineLevel="0" collapsed="false">
      <c r="A14" s="1" t="s">
        <v>80</v>
      </c>
      <c r="B14" s="1" t="s">
        <v>11</v>
      </c>
      <c r="C14" s="1" t="s">
        <v>26</v>
      </c>
      <c r="D14" s="1" t="s">
        <v>113</v>
      </c>
      <c r="E14" s="1" t="n">
        <v>128260</v>
      </c>
      <c r="F14" s="1" t="s">
        <v>30</v>
      </c>
      <c r="G14" s="1" t="n">
        <v>1</v>
      </c>
      <c r="H14" s="1" t="n">
        <v>128260</v>
      </c>
      <c r="I14" s="1" t="s">
        <v>114</v>
      </c>
      <c r="J14" s="1" t="n">
        <v>22</v>
      </c>
      <c r="K14" s="1" t="n">
        <v>17.4</v>
      </c>
      <c r="L14" s="3" t="str">
        <f aca="false">IF(OR(H14="",I14=""),"",IF(I14="$/MWp",H14,IF(I14="$/kWp",H14*1000,IF(I14="m$",IF(J14="", "", H14*1000000/J14),IF(I14="$/MW AC",IF(OR(K14="",J14=""),"",H14*K14/J14),"")))))</f>
        <v/>
      </c>
      <c r="M14" s="3" t="s">
        <v>29</v>
      </c>
      <c r="N14" s="1" t="s">
        <v>106</v>
      </c>
      <c r="O14" s="1" t="s">
        <v>128</v>
      </c>
      <c r="P14" s="3"/>
    </row>
    <row r="15" customFormat="false" ht="16.4" hidden="false" customHeight="false" outlineLevel="0" collapsed="false">
      <c r="A15" s="1" t="s">
        <v>83</v>
      </c>
      <c r="B15" s="1" t="s">
        <v>11</v>
      </c>
      <c r="C15" s="1" t="s">
        <v>26</v>
      </c>
      <c r="D15" s="1" t="s">
        <v>113</v>
      </c>
      <c r="E15" s="1" t="n">
        <v>297330</v>
      </c>
      <c r="F15" s="1" t="s">
        <v>30</v>
      </c>
      <c r="G15" s="1" t="n">
        <v>1</v>
      </c>
      <c r="H15" s="1" t="n">
        <v>297330</v>
      </c>
      <c r="I15" s="1" t="s">
        <v>114</v>
      </c>
      <c r="J15" s="1" t="n">
        <v>51</v>
      </c>
      <c r="K15" s="1" t="n">
        <v>40</v>
      </c>
      <c r="L15" s="3" t="str">
        <f aca="false">IF(OR(H15="",I15=""),"",IF(I15="$/MWp",H15,IF(I15="$/kWp",H15*1000,IF(I15="m$",IF(J15="", "", H15*1000000/J15),IF(I15="$/MW AC",IF(OR(K15="",J15=""),"",H15*K15/J15),"")))))</f>
        <v/>
      </c>
      <c r="M15" s="3" t="s">
        <v>29</v>
      </c>
      <c r="N15" s="1" t="s">
        <v>106</v>
      </c>
      <c r="O15" s="1" t="s">
        <v>129</v>
      </c>
      <c r="P15" s="3"/>
    </row>
    <row r="16" customFormat="false" ht="14.2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customFormat="false" ht="14.2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customFormat="false" ht="14.2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customFormat="false" ht="14.2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customFormat="false" ht="14.2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customFormat="false" ht="14.25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customFormat="false" ht="14.25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customFormat="false" ht="14.25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customFormat="false" ht="14.25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customFormat="false" ht="14.25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customFormat="false" ht="14.25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customFormat="false" ht="14.25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customFormat="false" ht="14.25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customFormat="false" ht="14.25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customFormat="false" ht="14.25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customFormat="false" ht="14.25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customFormat="false" ht="14.25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customFormat="false" ht="14.2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customFormat="false" ht="14.25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customFormat="false" ht="14.25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customFormat="false" ht="14.25" hidden="false" customHeight="fals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customFormat="false" ht="14.25" hidden="false" customHeight="fals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customFormat="false" ht="14.25" hidden="false" customHeight="fals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customFormat="false" ht="14.25" hidden="false" customHeight="fals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customFormat="false" ht="14.25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customFormat="false" ht="14.25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customFormat="false" ht="14.25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customFormat="false" ht="14.25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customFormat="false" ht="14.25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customFormat="false" ht="14.25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customFormat="false" ht="14.25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customFormat="false" ht="14.25" hidden="false" customHeight="fals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customFormat="false" ht="14.25" hidden="false" customHeight="fals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customFormat="false" ht="14.25" hidden="false" customHeight="fals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customFormat="false" ht="14.25" hidden="false" customHeight="fals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4.25" hidden="false" customHeight="fals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customFormat="false" ht="14.25" hidden="false" customHeight="fals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customFormat="false" ht="14.25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customFormat="false" ht="14.25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customFormat="false" ht="14.25" hidden="false" customHeight="fals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customFormat="false" ht="14.25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customFormat="false" ht="14.25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customFormat="false" ht="14.2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customFormat="false" ht="14.2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customFormat="false" ht="14.2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customFormat="false" ht="14.25" hidden="false" customHeight="fals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customFormat="false" ht="14.25" hidden="false" customHeight="fals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customFormat="false" ht="14.25" hidden="false" customHeight="fals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customFormat="false" ht="14.25" hidden="false" customHeight="fals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customFormat="false" ht="14.25" hidden="false" customHeight="fals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customFormat="false" ht="14.25" hidden="false" customHeight="fals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customFormat="false" ht="14.25" hidden="false" customHeight="fals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customFormat="false" ht="14.25" hidden="false" customHeight="fals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customFormat="false" ht="14.25" hidden="false" customHeight="fals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customFormat="false" ht="14.25" hidden="false" customHeight="fals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customFormat="false" ht="14.25" hidden="false" customHeight="fals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customFormat="false" ht="14.25" hidden="false" customHeight="fals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customFormat="false" ht="14.25" hidden="false" customHeight="fals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customFormat="false" ht="14.25" hidden="false" customHeight="fals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customFormat="false" ht="14.25" hidden="false" customHeight="fals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customFormat="false" ht="14.25" hidden="false" customHeight="fals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customFormat="false" ht="14.25" hidden="false" customHeight="fals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customFormat="false" ht="14.25" hidden="false" customHeight="fals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customFormat="false" ht="14.25" hidden="false" customHeight="fals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customFormat="false" ht="14.25" hidden="false" customHeight="fals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customFormat="false" ht="14.25" hidden="false" customHeight="fals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customFormat="false" ht="14.25" hidden="false" customHeight="fals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customFormat="false" ht="14.25" hidden="false" customHeight="fals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customFormat="false" ht="14.25" hidden="false" customHeight="fals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customFormat="false" ht="14.25" hidden="false" customHeight="fals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customFormat="false" ht="14.25" hidden="false" customHeight="fals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customFormat="false" ht="14.25" hidden="false" customHeight="fals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customFormat="false" ht="14.25" hidden="false" customHeight="fals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customFormat="false" ht="14.25" hidden="false" customHeight="fals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customFormat="false" ht="14.25" hidden="false" customHeight="fals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customFormat="false" ht="14.25" hidden="false" customHeight="fals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customFormat="false" ht="14.25" hidden="false" customHeight="fals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customFormat="false" ht="14.25" hidden="false" customHeight="fals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customFormat="false" ht="14.25" hidden="false" customHeight="fals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customFormat="false" ht="14.25" hidden="false" customHeight="fals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customFormat="false" ht="14.25" hidden="false" customHeight="fals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customFormat="false" ht="14.25" hidden="false" customHeight="fals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customFormat="false" ht="14.25" hidden="false" customHeight="fals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customFormat="false" ht="14.25" hidden="false" customHeight="fals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customFormat="false" ht="14.25" hidden="false" customHeight="fals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customFormat="false" ht="14.25" hidden="false" customHeight="fals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customFormat="false" ht="14.25" hidden="false" customHeight="fals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customFormat="false" ht="14.25" hidden="false" customHeight="fals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customFormat="false" ht="14.25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customFormat="false" ht="14.25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customFormat="false" ht="14.25" hidden="false" customHeight="fals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customFormat="false" ht="14.25" hidden="false" customHeight="fals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customFormat="false" ht="14.25" hidden="false" customHeight="fals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customFormat="false" ht="14.25" hidden="false" customHeight="fals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customFormat="false" ht="14.25" hidden="false" customHeight="fals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customFormat="false" ht="14.25" hidden="false" customHeight="fals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customFormat="false" ht="14.25" hidden="false" customHeight="fals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customFormat="false" ht="14.25" hidden="false" customHeight="fals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customFormat="false" ht="14.25" hidden="false" customHeight="fals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customFormat="false" ht="14.25" hidden="false" customHeight="fals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customFormat="false" ht="14.25" hidden="false" customHeight="fals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customFormat="false" ht="14.25" hidden="false" customHeight="fals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customFormat="false" ht="14.25" hidden="false" customHeight="fals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P2:P118">
    <cfRule type="expression" priority="2" aboveAverage="0" equalAverage="0" bottom="0" percent="0" rank="0" text="" dxfId="6">
      <formula>P2="N"</formula>
    </cfRule>
  </conditionalFormatting>
  <dataValidations count="1">
    <dataValidation allowBlank="false" errorStyle="stop" operator="between" showDropDown="false" showErrorMessage="false" showInputMessage="false" sqref="P2:P118" type="list">
      <formula1>"Y,N"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153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2026-04-16T08:12:10Z</dcterms:created>
  <dc:creator>Abdulrahman Alhosani, Sarah</dc:creator>
  <dc:description/>
  <dc:language>en-US</dc:language>
  <cp:lastModifiedBy/>
  <dcterms:modified xsi:type="dcterms:W3CDTF">2026-04-23T13:08:25Z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